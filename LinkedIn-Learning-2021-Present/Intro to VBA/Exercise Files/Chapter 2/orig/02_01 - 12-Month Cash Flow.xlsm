
<file path=[Content_Types].xml><?xml version="1.0" encoding="utf-8"?>
<Types xmlns="http://schemas.openxmlformats.org/package/2006/content-types">
  <Default Extension="bin" ContentType="application/vnd.openxmlformats-officedocument.spreadsheetml.printerSettings"/>
  <Default Extension="data" ContentType="application/vnd.openxmlformats-officedocument.model+data"/>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externalLinks/externalLink1.xml" ContentType="application/vnd.openxmlformats-officedocument.spreadsheetml.externalLink+xml"/>
  <Override PartName="/xl/pivotCache/pivotCacheDefinition1.xml" ContentType="application/vnd.openxmlformats-officedocument.spreadsheetml.pivotCacheDefinition+xml"/>
  <Override PartName="/xl/slicerCaches/slicerCache1.xml" ContentType="application/vnd.ms-excel.slicerCache+xml"/>
  <Override PartName="/xl/slicerCaches/slicerCache2.xml" ContentType="application/vnd.ms-excel.slicerCache+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pivotTables/pivotTable1.xml" ContentType="application/vnd.openxmlformats-officedocument.spreadsheetml.pivotTable+xml"/>
  <Override PartName="/xl/drawings/drawing1.xml" ContentType="application/vnd.openxmlformats-officedocument.drawing+xml"/>
  <Override PartName="/xl/slicers/slicer1.xml" ContentType="application/vnd.ms-excel.slicer+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queryTables/queryTable1.xml" ContentType="application/vnd.openxmlformats-officedocument.spreadsheetml.queryTable+xml"/>
  <Override PartName="/xl/tables/table5.xml" ContentType="application/vnd.openxmlformats-officedocument.spreadsheetml.table+xml"/>
  <Override PartName="/xl/queryTables/queryTable2.xml" ContentType="application/vnd.openxmlformats-officedocument.spreadsheetml.queryTable+xml"/>
  <Override PartName="/xl/tables/table6.xml" ContentType="application/vnd.openxmlformats-officedocument.spreadsheetml.table+xml"/>
  <Override PartName="/xl/queryTables/queryTable3.xml" ContentType="application/vnd.openxmlformats-officedocument.spreadsheetml.queryTab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customXml/itemProps5.xml" ContentType="application/vnd.openxmlformats-officedocument.customXmlProperties+xml"/>
  <Override PartName="/customXml/itemProps6.xml" ContentType="application/vnd.openxmlformats-officedocument.customXmlProperties+xml"/>
  <Override PartName="/customXml/itemProps7.xml" ContentType="application/vnd.openxmlformats-officedocument.customXmlProperties+xml"/>
  <Override PartName="/customXml/itemProps8.xml" ContentType="application/vnd.openxmlformats-officedocument.customXmlProperties+xml"/>
  <Override PartName="/customXml/itemProps9.xml" ContentType="application/vnd.openxmlformats-officedocument.customXmlProperties+xml"/>
  <Override PartName="/customXml/itemProps10.xml" ContentType="application/vnd.openxmlformats-officedocument.customXmlProperties+xml"/>
  <Override PartName="/customXml/itemProps11.xml" ContentType="application/vnd.openxmlformats-officedocument.customXmlProperties+xml"/>
  <Override PartName="/customXml/itemProps12.xml" ContentType="application/vnd.openxmlformats-officedocument.customXmlProperties+xml"/>
  <Override PartName="/customXml/itemProps13.xml" ContentType="application/vnd.openxmlformats-officedocument.customXmlProperties+xml"/>
  <Override PartName="/customXml/itemProps14.xml" ContentType="application/vnd.openxmlformats-officedocument.customXmlProperties+xml"/>
  <Override PartName="/customXml/itemProps15.xml" ContentType="application/vnd.openxmlformats-officedocument.customXmlProperties+xml"/>
  <Override PartName="/customXml/itemProps16.xml" ContentType="application/vnd.openxmlformats-officedocument.customXmlProperties+xml"/>
  <Override PartName="/customXml/itemProps17.xml" ContentType="application/vnd.openxmlformats-officedocument.customXmlProperties+xml"/>
  <Override PartName="/customXml/itemProps18.xml" ContentType="application/vnd.openxmlformats-officedocument.customXmlProperties+xml"/>
  <Override PartName="/customXml/itemProps19.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1206" codeName="{22E68647-3C60-695B-3CA0-4895CD717B8A}"/>
  <workbookPr codeName="ThisWorkbook" hidePivotFieldList="1" defaultThemeVersion="166925"/>
  <mc:AlternateContent xmlns:mc="http://schemas.openxmlformats.org/markup-compatibility/2006">
    <mc:Choice Requires="x15">
      <x15ac:absPath xmlns:x15ac="http://schemas.microsoft.com/office/spreadsheetml/2010/11/ac" url="D:\LinkedIn Learning\Introduction to Macros and VBA\Chapter 2\"/>
    </mc:Choice>
  </mc:AlternateContent>
  <xr:revisionPtr revIDLastSave="0" documentId="13_ncr:1_{94E41043-C496-4E08-96D1-3FD07AC17DDB}" xr6:coauthVersionLast="40" xr6:coauthVersionMax="40" xr10:uidLastSave="{00000000-0000-0000-0000-000000000000}"/>
  <bookViews>
    <workbookView xWindow="0" yWindow="0" windowWidth="24300" windowHeight="11910" tabRatio="968" xr2:uid="{7F158277-8886-4C60-A124-E9884AEC93C5}"/>
  </bookViews>
  <sheets>
    <sheet name="12-Month Cash Flow" sheetId="1" r:id="rId1"/>
    <sheet name="12-Month Pivot Summary" sheetId="13" r:id="rId2"/>
    <sheet name="12-Month Expense data" sheetId="5" r:id="rId3"/>
    <sheet name="12-Month Sales detail" sheetId="3" r:id="rId4"/>
    <sheet name="Chart of Accounts" sheetId="2" r:id="rId5"/>
    <sheet name="Consolidated Data" sheetId="11" r:id="rId6"/>
    <sheet name="Expense - Power Query" sheetId="9" r:id="rId7"/>
    <sheet name="Sales - Power Query" sheetId="10" r:id="rId8"/>
  </sheets>
  <externalReferences>
    <externalReference r:id="rId9"/>
  </externalReferences>
  <definedNames>
    <definedName name="_3_Year_Sales_Data">'12-Month Sales detail'!$A$1:$O$439</definedName>
    <definedName name="_xlcn.WorksheetConnection_12MonthCashFlow.xlsmtbl_ChartOfAccounts" hidden="1">tbl_ChartOfAccounts[]</definedName>
    <definedName name="_xlcn.WorksheetConnection_12MonthCashFlow.xlsmtbl_GLExpense" hidden="1">tbl_GLExpense[]</definedName>
    <definedName name="_xlcn.WorksheetConnection_12MonthCashFlow.xlsmtbl_GLSalesDetail" hidden="1">tbl_GLSalesDetail[]</definedName>
    <definedName name="Agriculture_Forestry_Fishing">_xlfn.ANCHORARRAY('[1]Validation Lists'!$D$2)</definedName>
    <definedName name="Construction">_xlfn.ANCHORARRAY('[1]Validation Lists'!$E$2)</definedName>
    <definedName name="ExternalData_1" localSheetId="6" hidden="1">'Expense - Power Query'!$A$1:$D$517</definedName>
    <definedName name="ExternalData_1" localSheetId="7" hidden="1">'Sales - Power Query'!$A$1:$D$439</definedName>
    <definedName name="ExternalData_2" localSheetId="5" hidden="1">'Consolidated Data'!$A$1:$D$955</definedName>
    <definedName name="Finance_Insurance_Real_Estate">_xlfn.ANCHORARRAY('[1]Validation Lists'!$F$2)</definedName>
    <definedName name="lst_SICCodeSectors">[1]!tbl_SICCode_Sector1[Primary Sector]</definedName>
    <definedName name="Manufacturing">_xlfn.ANCHORARRAY('[1]Validation Lists'!$G$2)</definedName>
    <definedName name="Mining">_xlfn.ANCHORARRAY('[1]Validation Lists'!$H$2)</definedName>
    <definedName name="Public_Administration">_xlfn.ANCHORARRAY('[1]Validation Lists'!$I$2)</definedName>
    <definedName name="Retail_Trade">_xlfn.ANCHORARRAY('[1]Validation Lists'!$J$2)</definedName>
    <definedName name="Services">_xlfn.ANCHORARRAY('[1]Validation Lists'!$K$2)</definedName>
    <definedName name="Slicer_Description">#N/A</definedName>
    <definedName name="Slicer_GL_Account">#N/A</definedName>
    <definedName name="Transportation_Public_Utilities">_xlfn.ANCHORARRAY('[1]Validation Lists'!$L$2)</definedName>
    <definedName name="Wholesale_Trade">_xlfn.ANCHORARRAY('[1]Validation Lists'!$M$2)</definedName>
  </definedNames>
  <calcPr calcId="191029"/>
  <pivotCaches>
    <pivotCache cacheId="2" r:id="rId10"/>
  </pivotCaches>
  <extLst>
    <ext xmlns:x14="http://schemas.microsoft.com/office/spreadsheetml/2009/9/main" uri="{BBE1A952-AA13-448e-AADC-164F8A28A991}">
      <x14:slicerCaches>
        <x14:slicerCache r:id="rId11"/>
        <x14:slicerCache r:id="rId12"/>
      </x14:slicerCaches>
    </ext>
    <ext xmlns:x14="http://schemas.microsoft.com/office/spreadsheetml/2009/9/main" uri="{79F54976-1DA5-4618-B147-4CDE4B953A38}">
      <x14:workbookPr/>
    </ext>
    <ext xmlns:x15="http://schemas.microsoft.com/office/spreadsheetml/2010/11/main" uri="{140A7094-0E35-4892-8432-C4D2E57EDEB5}">
      <x15:workbookPr chartTrackingRefBase="1"/>
    </ext>
    <ext xmlns:x15="http://schemas.microsoft.com/office/spreadsheetml/2010/11/main" uri="{FCE2AD5D-F65C-4FA6-A056-5C36A1767C68}">
      <x15:dataModel>
        <x15:modelTables>
          <x15:modelTable id="tbl_GLExpense" name="tbl_GLExpense" connection="WorksheetConnection_12-Month Cash Flow.xlsm!tbl_GLExpense"/>
          <x15:modelTable id="tbl_GLSalesDetail" name="tbl_GLSalesDetail" connection="WorksheetConnection_12-Month Cash Flow.xlsm!tbl_GLSalesDetail"/>
          <x15:modelTable id="tbl_ChartOfAccounts" name="tbl_ChartOfAccounts" connection="WorksheetConnection_12-Month Cash Flow.xlsm!tbl_ChartOfAccounts"/>
        </x15:modelTables>
      </x15:dataModel>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O83" i="1" l="1"/>
  <c r="N83" i="1"/>
  <c r="M83" i="1"/>
  <c r="L83" i="1"/>
  <c r="K83" i="1"/>
  <c r="J83" i="1"/>
  <c r="I83" i="1"/>
  <c r="H83" i="1"/>
  <c r="G83" i="1"/>
  <c r="F83" i="1"/>
  <c r="E83" i="1"/>
  <c r="D83" i="1"/>
  <c r="O82" i="1"/>
  <c r="N82" i="1"/>
  <c r="M82" i="1"/>
  <c r="L82" i="1"/>
  <c r="K82" i="1"/>
  <c r="J82" i="1"/>
  <c r="I82" i="1"/>
  <c r="H82" i="1"/>
  <c r="G82" i="1"/>
  <c r="F82" i="1"/>
  <c r="E82" i="1"/>
  <c r="D82" i="1"/>
  <c r="O81" i="1"/>
  <c r="N81" i="1"/>
  <c r="M81" i="1"/>
  <c r="L81" i="1"/>
  <c r="K81" i="1"/>
  <c r="J81" i="1"/>
  <c r="I81" i="1"/>
  <c r="H81" i="1"/>
  <c r="G81" i="1"/>
  <c r="F81" i="1"/>
  <c r="E81" i="1"/>
  <c r="D81" i="1"/>
  <c r="O80" i="1"/>
  <c r="N80" i="1"/>
  <c r="M80" i="1"/>
  <c r="L80" i="1"/>
  <c r="K80" i="1"/>
  <c r="J80" i="1"/>
  <c r="I80" i="1"/>
  <c r="H80" i="1"/>
  <c r="G80" i="1"/>
  <c r="F80" i="1"/>
  <c r="E80" i="1"/>
  <c r="D80" i="1"/>
  <c r="O79" i="1"/>
  <c r="N79" i="1"/>
  <c r="M79" i="1"/>
  <c r="L79" i="1"/>
  <c r="K79" i="1"/>
  <c r="J79" i="1"/>
  <c r="I79" i="1"/>
  <c r="H79" i="1"/>
  <c r="G79" i="1"/>
  <c r="F79" i="1"/>
  <c r="E79" i="1"/>
  <c r="D79" i="1"/>
  <c r="O75" i="1"/>
  <c r="N75" i="1"/>
  <c r="M75" i="1"/>
  <c r="L75" i="1"/>
  <c r="K75" i="1"/>
  <c r="J75" i="1"/>
  <c r="I75" i="1"/>
  <c r="H75" i="1"/>
  <c r="G75" i="1"/>
  <c r="F75" i="1"/>
  <c r="E75" i="1"/>
  <c r="D75" i="1"/>
  <c r="O74" i="1"/>
  <c r="N74" i="1"/>
  <c r="M74" i="1"/>
  <c r="L74" i="1"/>
  <c r="K74" i="1"/>
  <c r="J74" i="1"/>
  <c r="I74" i="1"/>
  <c r="H74" i="1"/>
  <c r="G74" i="1"/>
  <c r="F74" i="1"/>
  <c r="E74" i="1"/>
  <c r="D74" i="1"/>
  <c r="O73" i="1"/>
  <c r="N73" i="1"/>
  <c r="M73" i="1"/>
  <c r="L73" i="1"/>
  <c r="K73" i="1"/>
  <c r="J73" i="1"/>
  <c r="I73" i="1"/>
  <c r="H73" i="1"/>
  <c r="G73" i="1"/>
  <c r="F73" i="1"/>
  <c r="E73" i="1"/>
  <c r="D73" i="1"/>
  <c r="O72" i="1"/>
  <c r="N72" i="1"/>
  <c r="M72" i="1"/>
  <c r="L72" i="1"/>
  <c r="K72" i="1"/>
  <c r="J72" i="1"/>
  <c r="I72" i="1"/>
  <c r="H72" i="1"/>
  <c r="G72" i="1"/>
  <c r="F72" i="1"/>
  <c r="E72" i="1"/>
  <c r="D72" i="1"/>
  <c r="O71" i="1"/>
  <c r="N71" i="1"/>
  <c r="M71" i="1"/>
  <c r="L71" i="1"/>
  <c r="K71" i="1"/>
  <c r="J71" i="1"/>
  <c r="I71" i="1"/>
  <c r="H71" i="1"/>
  <c r="G71" i="1"/>
  <c r="F71" i="1"/>
  <c r="E71" i="1"/>
  <c r="D71" i="1"/>
  <c r="O70" i="1"/>
  <c r="N70" i="1"/>
  <c r="M70" i="1"/>
  <c r="L70" i="1"/>
  <c r="K70" i="1"/>
  <c r="J70" i="1"/>
  <c r="I70" i="1"/>
  <c r="H70" i="1"/>
  <c r="G70" i="1"/>
  <c r="F70" i="1"/>
  <c r="E70" i="1"/>
  <c r="D70" i="1"/>
  <c r="O69" i="1"/>
  <c r="N69" i="1"/>
  <c r="M69" i="1"/>
  <c r="L69" i="1"/>
  <c r="K69" i="1"/>
  <c r="J69" i="1"/>
  <c r="I69" i="1"/>
  <c r="H69" i="1"/>
  <c r="G69" i="1"/>
  <c r="F69" i="1"/>
  <c r="E69" i="1"/>
  <c r="D69" i="1"/>
  <c r="O68" i="1"/>
  <c r="N68" i="1"/>
  <c r="M68" i="1"/>
  <c r="L68" i="1"/>
  <c r="K68" i="1"/>
  <c r="J68" i="1"/>
  <c r="I68" i="1"/>
  <c r="H68" i="1"/>
  <c r="G68" i="1"/>
  <c r="F68" i="1"/>
  <c r="E68" i="1"/>
  <c r="D68" i="1"/>
  <c r="O67" i="1"/>
  <c r="N67" i="1"/>
  <c r="M67" i="1"/>
  <c r="L67" i="1"/>
  <c r="K67" i="1"/>
  <c r="J67" i="1"/>
  <c r="I67" i="1"/>
  <c r="H67" i="1"/>
  <c r="G67" i="1"/>
  <c r="F67" i="1"/>
  <c r="E67" i="1"/>
  <c r="D67" i="1"/>
  <c r="O63" i="1"/>
  <c r="N63" i="1"/>
  <c r="M63" i="1"/>
  <c r="L63" i="1"/>
  <c r="K63" i="1"/>
  <c r="J63" i="1"/>
  <c r="I63" i="1"/>
  <c r="H63" i="1"/>
  <c r="G63" i="1"/>
  <c r="F63" i="1"/>
  <c r="E63" i="1"/>
  <c r="D63" i="1"/>
  <c r="O62" i="1"/>
  <c r="N62" i="1"/>
  <c r="M62" i="1"/>
  <c r="L62" i="1"/>
  <c r="K62" i="1"/>
  <c r="J62" i="1"/>
  <c r="I62" i="1"/>
  <c r="H62" i="1"/>
  <c r="G62" i="1"/>
  <c r="F62" i="1"/>
  <c r="E62" i="1"/>
  <c r="D62" i="1"/>
  <c r="O61" i="1"/>
  <c r="N61" i="1"/>
  <c r="M61" i="1"/>
  <c r="L61" i="1"/>
  <c r="K61" i="1"/>
  <c r="J61" i="1"/>
  <c r="I61" i="1"/>
  <c r="H61" i="1"/>
  <c r="G61" i="1"/>
  <c r="F61" i="1"/>
  <c r="E61" i="1"/>
  <c r="D61" i="1"/>
  <c r="O57" i="1"/>
  <c r="N57" i="1"/>
  <c r="M57" i="1"/>
  <c r="L57" i="1"/>
  <c r="K57" i="1"/>
  <c r="J57" i="1"/>
  <c r="I57" i="1"/>
  <c r="H57" i="1"/>
  <c r="G57" i="1"/>
  <c r="F57" i="1"/>
  <c r="E57" i="1"/>
  <c r="D57" i="1"/>
  <c r="O56" i="1"/>
  <c r="N56" i="1"/>
  <c r="M56" i="1"/>
  <c r="L56" i="1"/>
  <c r="K56" i="1"/>
  <c r="J56" i="1"/>
  <c r="I56" i="1"/>
  <c r="H56" i="1"/>
  <c r="G56" i="1"/>
  <c r="F56" i="1"/>
  <c r="E56" i="1"/>
  <c r="D56" i="1"/>
  <c r="O55" i="1"/>
  <c r="N55" i="1"/>
  <c r="M55" i="1"/>
  <c r="L55" i="1"/>
  <c r="K55" i="1"/>
  <c r="J55" i="1"/>
  <c r="I55" i="1"/>
  <c r="H55" i="1"/>
  <c r="G55" i="1"/>
  <c r="F55" i="1"/>
  <c r="E55" i="1"/>
  <c r="D55" i="1"/>
  <c r="O54" i="1"/>
  <c r="N54" i="1"/>
  <c r="M54" i="1"/>
  <c r="L54" i="1"/>
  <c r="K54" i="1"/>
  <c r="J54" i="1"/>
  <c r="I54" i="1"/>
  <c r="H54" i="1"/>
  <c r="G54" i="1"/>
  <c r="F54" i="1"/>
  <c r="E54" i="1"/>
  <c r="D54" i="1"/>
  <c r="O53" i="1"/>
  <c r="N53" i="1"/>
  <c r="M53" i="1"/>
  <c r="L53" i="1"/>
  <c r="K53" i="1"/>
  <c r="J53" i="1"/>
  <c r="I53" i="1"/>
  <c r="H53" i="1"/>
  <c r="G53" i="1"/>
  <c r="F53" i="1"/>
  <c r="E53" i="1"/>
  <c r="D53" i="1"/>
  <c r="O52" i="1"/>
  <c r="N52" i="1"/>
  <c r="M52" i="1"/>
  <c r="L52" i="1"/>
  <c r="K52" i="1"/>
  <c r="J52" i="1"/>
  <c r="I52" i="1"/>
  <c r="H52" i="1"/>
  <c r="G52" i="1"/>
  <c r="F52" i="1"/>
  <c r="E52" i="1"/>
  <c r="D52" i="1"/>
  <c r="O51" i="1"/>
  <c r="N51" i="1"/>
  <c r="M51" i="1"/>
  <c r="L51" i="1"/>
  <c r="K51" i="1"/>
  <c r="J51" i="1"/>
  <c r="I51" i="1"/>
  <c r="H51" i="1"/>
  <c r="G51" i="1"/>
  <c r="F51" i="1"/>
  <c r="E51" i="1"/>
  <c r="D51" i="1"/>
  <c r="O50" i="1"/>
  <c r="N50" i="1"/>
  <c r="M50" i="1"/>
  <c r="L50" i="1"/>
  <c r="K50" i="1"/>
  <c r="J50" i="1"/>
  <c r="I50" i="1"/>
  <c r="H50" i="1"/>
  <c r="G50" i="1"/>
  <c r="F50" i="1"/>
  <c r="E50" i="1"/>
  <c r="D50" i="1"/>
  <c r="O49" i="1"/>
  <c r="N49" i="1"/>
  <c r="M49" i="1"/>
  <c r="L49" i="1"/>
  <c r="K49" i="1"/>
  <c r="J49" i="1"/>
  <c r="I49" i="1"/>
  <c r="H49" i="1"/>
  <c r="G49" i="1"/>
  <c r="F49" i="1"/>
  <c r="E49" i="1"/>
  <c r="D49" i="1"/>
  <c r="O45" i="1"/>
  <c r="N45" i="1"/>
  <c r="M45" i="1"/>
  <c r="L45" i="1"/>
  <c r="K45" i="1"/>
  <c r="J45" i="1"/>
  <c r="I45" i="1"/>
  <c r="H45" i="1"/>
  <c r="G45" i="1"/>
  <c r="F45" i="1"/>
  <c r="E45" i="1"/>
  <c r="D45" i="1"/>
  <c r="O44" i="1"/>
  <c r="N44" i="1"/>
  <c r="M44" i="1"/>
  <c r="L44" i="1"/>
  <c r="K44" i="1"/>
  <c r="J44" i="1"/>
  <c r="I44" i="1"/>
  <c r="H44" i="1"/>
  <c r="G44" i="1"/>
  <c r="F44" i="1"/>
  <c r="E44" i="1"/>
  <c r="D44" i="1"/>
  <c r="O43" i="1"/>
  <c r="N43" i="1"/>
  <c r="M43" i="1"/>
  <c r="L43" i="1"/>
  <c r="K43" i="1"/>
  <c r="J43" i="1"/>
  <c r="I43" i="1"/>
  <c r="H43" i="1"/>
  <c r="G43" i="1"/>
  <c r="F43" i="1"/>
  <c r="E43" i="1"/>
  <c r="D43" i="1"/>
  <c r="O42" i="1"/>
  <c r="N42" i="1"/>
  <c r="M42" i="1"/>
  <c r="L42" i="1"/>
  <c r="K42" i="1"/>
  <c r="J42" i="1"/>
  <c r="I42" i="1"/>
  <c r="H42" i="1"/>
  <c r="G42" i="1"/>
  <c r="F42" i="1"/>
  <c r="E42" i="1"/>
  <c r="D42" i="1"/>
  <c r="O41" i="1"/>
  <c r="N41" i="1"/>
  <c r="M41" i="1"/>
  <c r="L41" i="1"/>
  <c r="K41" i="1"/>
  <c r="J41" i="1"/>
  <c r="I41" i="1"/>
  <c r="H41" i="1"/>
  <c r="G41" i="1"/>
  <c r="F41" i="1"/>
  <c r="E41" i="1"/>
  <c r="D41" i="1"/>
  <c r="O40" i="1"/>
  <c r="N40" i="1"/>
  <c r="M40" i="1"/>
  <c r="L40" i="1"/>
  <c r="K40" i="1"/>
  <c r="J40" i="1"/>
  <c r="I40" i="1"/>
  <c r="H40" i="1"/>
  <c r="G40" i="1"/>
  <c r="F40" i="1"/>
  <c r="E40" i="1"/>
  <c r="D40" i="1"/>
  <c r="O39" i="1"/>
  <c r="N39" i="1"/>
  <c r="M39" i="1"/>
  <c r="L39" i="1"/>
  <c r="K39" i="1"/>
  <c r="J39" i="1"/>
  <c r="I39" i="1"/>
  <c r="H39" i="1"/>
  <c r="G39" i="1"/>
  <c r="F39" i="1"/>
  <c r="E39" i="1"/>
  <c r="D39" i="1"/>
  <c r="O38" i="1"/>
  <c r="N38" i="1"/>
  <c r="M38" i="1"/>
  <c r="L38" i="1"/>
  <c r="K38" i="1"/>
  <c r="J38" i="1"/>
  <c r="I38" i="1"/>
  <c r="H38" i="1"/>
  <c r="G38" i="1"/>
  <c r="F38" i="1"/>
  <c r="E38" i="1"/>
  <c r="D38" i="1"/>
  <c r="O37" i="1"/>
  <c r="N37" i="1"/>
  <c r="M37" i="1"/>
  <c r="L37" i="1"/>
  <c r="K37" i="1"/>
  <c r="J37" i="1"/>
  <c r="I37" i="1"/>
  <c r="H37" i="1"/>
  <c r="G37" i="1"/>
  <c r="F37" i="1"/>
  <c r="E37" i="1"/>
  <c r="D37" i="1"/>
  <c r="O36" i="1"/>
  <c r="N36" i="1"/>
  <c r="M36" i="1"/>
  <c r="L36" i="1"/>
  <c r="K36" i="1"/>
  <c r="J36" i="1"/>
  <c r="I36" i="1"/>
  <c r="H36" i="1"/>
  <c r="G36" i="1"/>
  <c r="F36" i="1"/>
  <c r="E36" i="1"/>
  <c r="D36" i="1"/>
  <c r="O35" i="1"/>
  <c r="N35" i="1"/>
  <c r="M35" i="1"/>
  <c r="L35" i="1"/>
  <c r="K35" i="1"/>
  <c r="J35" i="1"/>
  <c r="I35" i="1"/>
  <c r="H35" i="1"/>
  <c r="G35" i="1"/>
  <c r="F35" i="1"/>
  <c r="E35" i="1"/>
  <c r="D35" i="1"/>
  <c r="O34" i="1"/>
  <c r="N34" i="1"/>
  <c r="M34" i="1"/>
  <c r="L34" i="1"/>
  <c r="K34" i="1"/>
  <c r="J34" i="1"/>
  <c r="I34" i="1"/>
  <c r="H34" i="1"/>
  <c r="G34" i="1"/>
  <c r="F34" i="1"/>
  <c r="E34" i="1"/>
  <c r="D34" i="1"/>
  <c r="O33" i="1"/>
  <c r="N33" i="1"/>
  <c r="M33" i="1"/>
  <c r="L33" i="1"/>
  <c r="K33" i="1"/>
  <c r="J33" i="1"/>
  <c r="I33" i="1"/>
  <c r="H33" i="1"/>
  <c r="G33" i="1"/>
  <c r="F33" i="1"/>
  <c r="E33" i="1"/>
  <c r="D33" i="1"/>
  <c r="O32" i="1"/>
  <c r="N32" i="1"/>
  <c r="M32" i="1"/>
  <c r="L32" i="1"/>
  <c r="K32" i="1"/>
  <c r="J32" i="1"/>
  <c r="I32" i="1"/>
  <c r="H32" i="1"/>
  <c r="G32" i="1"/>
  <c r="F32" i="1"/>
  <c r="E32" i="1"/>
  <c r="D32" i="1"/>
  <c r="O31" i="1"/>
  <c r="N31" i="1"/>
  <c r="M31" i="1"/>
  <c r="L31" i="1"/>
  <c r="K31" i="1"/>
  <c r="J31" i="1"/>
  <c r="I31" i="1"/>
  <c r="H31" i="1"/>
  <c r="G31" i="1"/>
  <c r="F31" i="1"/>
  <c r="E31" i="1"/>
  <c r="D31" i="1"/>
  <c r="O30" i="1"/>
  <c r="N30" i="1"/>
  <c r="M30" i="1"/>
  <c r="L30" i="1"/>
  <c r="K30" i="1"/>
  <c r="J30" i="1"/>
  <c r="I30" i="1"/>
  <c r="H30" i="1"/>
  <c r="G30" i="1"/>
  <c r="F30" i="1"/>
  <c r="E30" i="1"/>
  <c r="D30" i="1"/>
  <c r="O29" i="1"/>
  <c r="N29" i="1"/>
  <c r="M29" i="1"/>
  <c r="L29" i="1"/>
  <c r="K29" i="1"/>
  <c r="J29" i="1"/>
  <c r="I29" i="1"/>
  <c r="H29" i="1"/>
  <c r="G29" i="1"/>
  <c r="F29" i="1"/>
  <c r="E29" i="1"/>
  <c r="D29" i="1"/>
  <c r="O25" i="1"/>
  <c r="N25" i="1"/>
  <c r="M25" i="1"/>
  <c r="L25" i="1"/>
  <c r="K25" i="1"/>
  <c r="J25" i="1"/>
  <c r="I25" i="1"/>
  <c r="H25" i="1"/>
  <c r="G25" i="1"/>
  <c r="F25" i="1"/>
  <c r="E25" i="1"/>
  <c r="D25" i="1"/>
  <c r="O24" i="1"/>
  <c r="N24" i="1"/>
  <c r="M24" i="1"/>
  <c r="L24" i="1"/>
  <c r="K24" i="1"/>
  <c r="J24" i="1"/>
  <c r="I24" i="1"/>
  <c r="H24" i="1"/>
  <c r="G24" i="1"/>
  <c r="F24" i="1"/>
  <c r="E24" i="1"/>
  <c r="D24" i="1"/>
  <c r="O23" i="1"/>
  <c r="N23" i="1"/>
  <c r="M23" i="1"/>
  <c r="L23" i="1"/>
  <c r="K23" i="1"/>
  <c r="J23" i="1"/>
  <c r="I23" i="1"/>
  <c r="H23" i="1"/>
  <c r="G23" i="1"/>
  <c r="F23" i="1"/>
  <c r="E23" i="1"/>
  <c r="D23" i="1"/>
  <c r="O22" i="1"/>
  <c r="N22" i="1"/>
  <c r="M22" i="1"/>
  <c r="L22" i="1"/>
  <c r="K22" i="1"/>
  <c r="J22" i="1"/>
  <c r="I22" i="1"/>
  <c r="H22" i="1"/>
  <c r="G22" i="1"/>
  <c r="F22" i="1"/>
  <c r="E22" i="1"/>
  <c r="D22" i="1"/>
  <c r="O21" i="1"/>
  <c r="N21" i="1"/>
  <c r="M21" i="1"/>
  <c r="L21" i="1"/>
  <c r="K21" i="1"/>
  <c r="J21" i="1"/>
  <c r="I21" i="1"/>
  <c r="H21" i="1"/>
  <c r="G21" i="1"/>
  <c r="F21" i="1"/>
  <c r="E21" i="1"/>
  <c r="D21" i="1"/>
  <c r="O20" i="1"/>
  <c r="N20" i="1"/>
  <c r="M20" i="1"/>
  <c r="L20" i="1"/>
  <c r="K20" i="1"/>
  <c r="J20" i="1"/>
  <c r="I20" i="1"/>
  <c r="H20" i="1"/>
  <c r="G20" i="1"/>
  <c r="F20" i="1"/>
  <c r="E20" i="1"/>
  <c r="D20" i="1"/>
  <c r="C2" i="3"/>
  <c r="C3" i="3"/>
  <c r="C4" i="3"/>
  <c r="C5" i="3"/>
  <c r="C6" i="3"/>
  <c r="C7" i="3"/>
  <c r="C8" i="3"/>
  <c r="C9" i="3"/>
  <c r="C10" i="3"/>
  <c r="C11" i="3"/>
  <c r="C12" i="3"/>
  <c r="C13" i="3"/>
  <c r="C14" i="3"/>
  <c r="C15" i="3"/>
  <c r="C16" i="3"/>
  <c r="C17" i="3"/>
  <c r="C18" i="3"/>
  <c r="C19" i="3"/>
  <c r="C20" i="3"/>
  <c r="C21" i="3"/>
  <c r="C22" i="3"/>
  <c r="C23" i="3"/>
  <c r="C24" i="3"/>
  <c r="C25" i="3"/>
  <c r="C26" i="3"/>
  <c r="C27" i="3"/>
  <c r="C28" i="3"/>
  <c r="C29" i="3"/>
  <c r="C30" i="3"/>
  <c r="C31" i="3"/>
  <c r="C32" i="3"/>
  <c r="C33" i="3"/>
  <c r="C34" i="3"/>
  <c r="C35" i="3"/>
  <c r="C36" i="3"/>
  <c r="C37" i="3"/>
  <c r="C38" i="3"/>
  <c r="C39" i="3"/>
  <c r="C40" i="3"/>
  <c r="C41" i="3"/>
  <c r="C42" i="3"/>
  <c r="C43" i="3"/>
  <c r="C44" i="3"/>
  <c r="C45" i="3"/>
  <c r="C46" i="3"/>
  <c r="C47" i="3"/>
  <c r="C48" i="3"/>
  <c r="C49" i="3"/>
  <c r="C50" i="3"/>
  <c r="C51" i="3"/>
  <c r="C52" i="3"/>
  <c r="C53" i="3"/>
  <c r="C54" i="3"/>
  <c r="C55" i="3"/>
  <c r="C56" i="3"/>
  <c r="C57" i="3"/>
  <c r="C58" i="3"/>
  <c r="C59" i="3"/>
  <c r="C60" i="3"/>
  <c r="C61" i="3"/>
  <c r="C62" i="3"/>
  <c r="C63" i="3"/>
  <c r="C64" i="3"/>
  <c r="C65" i="3"/>
  <c r="C66" i="3"/>
  <c r="C67" i="3"/>
  <c r="C68" i="3"/>
  <c r="C69" i="3"/>
  <c r="C70" i="3"/>
  <c r="C71" i="3"/>
  <c r="C72" i="3"/>
  <c r="C73" i="3"/>
  <c r="C74" i="3"/>
  <c r="C75" i="3"/>
  <c r="C76" i="3"/>
  <c r="C77" i="3"/>
  <c r="C78" i="3"/>
  <c r="C79" i="3"/>
  <c r="C80" i="3"/>
  <c r="C81" i="3"/>
  <c r="C82" i="3"/>
  <c r="C83" i="3"/>
  <c r="C84" i="3"/>
  <c r="C85" i="3"/>
  <c r="C86" i="3"/>
  <c r="C87" i="3"/>
  <c r="C88" i="3"/>
  <c r="C89" i="3"/>
  <c r="C90" i="3"/>
  <c r="C91" i="3"/>
  <c r="C92" i="3"/>
  <c r="C93" i="3"/>
  <c r="C94" i="3"/>
  <c r="C95" i="3"/>
  <c r="C96" i="3"/>
  <c r="C97" i="3"/>
  <c r="C98" i="3"/>
  <c r="C99" i="3"/>
  <c r="C100" i="3"/>
  <c r="C101" i="3"/>
  <c r="C102" i="3"/>
  <c r="C103" i="3"/>
  <c r="C104" i="3"/>
  <c r="C105" i="3"/>
  <c r="C106" i="3"/>
  <c r="C107" i="3"/>
  <c r="C108" i="3"/>
  <c r="C109" i="3"/>
  <c r="C110" i="3"/>
  <c r="C111" i="3"/>
  <c r="C112" i="3"/>
  <c r="C113" i="3"/>
  <c r="C114" i="3"/>
  <c r="C115" i="3"/>
  <c r="C116" i="3"/>
  <c r="C117" i="3"/>
  <c r="C118" i="3"/>
  <c r="C119" i="3"/>
  <c r="C120" i="3"/>
  <c r="C121" i="3"/>
  <c r="C122" i="3"/>
  <c r="C123" i="3"/>
  <c r="C124" i="3"/>
  <c r="C125" i="3"/>
  <c r="C126" i="3"/>
  <c r="C127" i="3"/>
  <c r="C128" i="3"/>
  <c r="C129" i="3"/>
  <c r="C130" i="3"/>
  <c r="C131" i="3"/>
  <c r="C132" i="3"/>
  <c r="C133" i="3"/>
  <c r="C134" i="3"/>
  <c r="C135" i="3"/>
  <c r="C136" i="3"/>
  <c r="C137" i="3"/>
  <c r="C138" i="3"/>
  <c r="C139" i="3"/>
  <c r="C140" i="3"/>
  <c r="C141" i="3"/>
  <c r="C142" i="3"/>
  <c r="C143" i="3"/>
  <c r="C144" i="3"/>
  <c r="C145" i="3"/>
  <c r="C146" i="3"/>
  <c r="C147" i="3"/>
  <c r="C148" i="3"/>
  <c r="C149" i="3"/>
  <c r="C150" i="3"/>
  <c r="C151" i="3"/>
  <c r="C152" i="3"/>
  <c r="C153" i="3"/>
  <c r="C154" i="3"/>
  <c r="C155" i="3"/>
  <c r="C156" i="3"/>
  <c r="C157" i="3"/>
  <c r="C158" i="3"/>
  <c r="C159" i="3"/>
  <c r="C160" i="3"/>
  <c r="C161" i="3"/>
  <c r="C162" i="3"/>
  <c r="C163" i="3"/>
  <c r="C164" i="3"/>
  <c r="C165" i="3"/>
  <c r="C166" i="3"/>
  <c r="C167" i="3"/>
  <c r="C168" i="3"/>
  <c r="C169" i="3"/>
  <c r="C170" i="3"/>
  <c r="C171" i="3"/>
  <c r="C172" i="3"/>
  <c r="C173" i="3"/>
  <c r="C174" i="3"/>
  <c r="C175" i="3"/>
  <c r="C176" i="3"/>
  <c r="C177" i="3"/>
  <c r="C178" i="3"/>
  <c r="C179" i="3"/>
  <c r="C180" i="3"/>
  <c r="C181" i="3"/>
  <c r="C182" i="3"/>
  <c r="C183" i="3"/>
  <c r="C184" i="3"/>
  <c r="C185" i="3"/>
  <c r="C186" i="3"/>
  <c r="C187" i="3"/>
  <c r="C188" i="3"/>
  <c r="C189" i="3"/>
  <c r="C190" i="3"/>
  <c r="C191" i="3"/>
  <c r="C192" i="3"/>
  <c r="C193" i="3"/>
  <c r="C194" i="3"/>
  <c r="C195" i="3"/>
  <c r="C196" i="3"/>
  <c r="C197" i="3"/>
  <c r="C198" i="3"/>
  <c r="C199" i="3"/>
  <c r="C200" i="3"/>
  <c r="C201" i="3"/>
  <c r="C202" i="3"/>
  <c r="C203" i="3"/>
  <c r="C204" i="3"/>
  <c r="C205" i="3"/>
  <c r="C206" i="3"/>
  <c r="C207" i="3"/>
  <c r="C208" i="3"/>
  <c r="C209" i="3"/>
  <c r="C210" i="3"/>
  <c r="C211" i="3"/>
  <c r="C212" i="3"/>
  <c r="C213" i="3"/>
  <c r="C214" i="3"/>
  <c r="C215" i="3"/>
  <c r="C216" i="3"/>
  <c r="C217" i="3"/>
  <c r="C218" i="3"/>
  <c r="C219" i="3"/>
  <c r="C220" i="3"/>
  <c r="C221" i="3"/>
  <c r="C222" i="3"/>
  <c r="C223" i="3"/>
  <c r="C224" i="3"/>
  <c r="C225" i="3"/>
  <c r="C226" i="3"/>
  <c r="C227" i="3"/>
  <c r="C228" i="3"/>
  <c r="C229" i="3"/>
  <c r="C230" i="3"/>
  <c r="C231" i="3"/>
  <c r="C232" i="3"/>
  <c r="C233" i="3"/>
  <c r="C234" i="3"/>
  <c r="C235" i="3"/>
  <c r="C236" i="3"/>
  <c r="C237" i="3"/>
  <c r="C238" i="3"/>
  <c r="C239" i="3"/>
  <c r="C240" i="3"/>
  <c r="C241" i="3"/>
  <c r="C242" i="3"/>
  <c r="C243" i="3"/>
  <c r="C244" i="3"/>
  <c r="C245" i="3"/>
  <c r="C246" i="3"/>
  <c r="C247" i="3"/>
  <c r="C248" i="3"/>
  <c r="C249" i="3"/>
  <c r="C250" i="3"/>
  <c r="C251" i="3"/>
  <c r="C252" i="3"/>
  <c r="C253" i="3"/>
  <c r="C254" i="3"/>
  <c r="C255" i="3"/>
  <c r="C256" i="3"/>
  <c r="C257" i="3"/>
  <c r="C258" i="3"/>
  <c r="C259" i="3"/>
  <c r="C260" i="3"/>
  <c r="C261" i="3"/>
  <c r="C262" i="3"/>
  <c r="C263" i="3"/>
  <c r="C264" i="3"/>
  <c r="C265" i="3"/>
  <c r="C266" i="3"/>
  <c r="C267" i="3"/>
  <c r="C268" i="3"/>
  <c r="C269" i="3"/>
  <c r="C270" i="3"/>
  <c r="C271" i="3"/>
  <c r="C272" i="3"/>
  <c r="C273" i="3"/>
  <c r="C274" i="3"/>
  <c r="C275" i="3"/>
  <c r="C276" i="3"/>
  <c r="C277" i="3"/>
  <c r="C278" i="3"/>
  <c r="C279" i="3"/>
  <c r="C280" i="3"/>
  <c r="C281" i="3"/>
  <c r="C282" i="3"/>
  <c r="C283" i="3"/>
  <c r="C284" i="3"/>
  <c r="C285" i="3"/>
  <c r="C286" i="3"/>
  <c r="C287" i="3"/>
  <c r="C288" i="3"/>
  <c r="C289" i="3"/>
  <c r="C290" i="3"/>
  <c r="C291" i="3"/>
  <c r="C292" i="3"/>
  <c r="C293" i="3"/>
  <c r="C294" i="3"/>
  <c r="C295" i="3"/>
  <c r="C296" i="3"/>
  <c r="C297" i="3"/>
  <c r="C298" i="3"/>
  <c r="C299" i="3"/>
  <c r="C300" i="3"/>
  <c r="C301" i="3"/>
  <c r="C302" i="3"/>
  <c r="C303" i="3"/>
  <c r="C304" i="3"/>
  <c r="C305" i="3"/>
  <c r="C306" i="3"/>
  <c r="C307" i="3"/>
  <c r="C308" i="3"/>
  <c r="C309" i="3"/>
  <c r="C310" i="3"/>
  <c r="C311" i="3"/>
  <c r="C312" i="3"/>
  <c r="C313" i="3"/>
  <c r="C314" i="3"/>
  <c r="C315" i="3"/>
  <c r="C316" i="3"/>
  <c r="C317" i="3"/>
  <c r="C318" i="3"/>
  <c r="C319" i="3"/>
  <c r="C320" i="3"/>
  <c r="C321" i="3"/>
  <c r="C322" i="3"/>
  <c r="C323" i="3"/>
  <c r="C324" i="3"/>
  <c r="C325" i="3"/>
  <c r="C326" i="3"/>
  <c r="C327" i="3"/>
  <c r="C328" i="3"/>
  <c r="C329" i="3"/>
  <c r="C330" i="3"/>
  <c r="C331" i="3"/>
  <c r="C332" i="3"/>
  <c r="C333" i="3"/>
  <c r="C334" i="3"/>
  <c r="C335" i="3"/>
  <c r="C336" i="3"/>
  <c r="C337" i="3"/>
  <c r="C338" i="3"/>
  <c r="C339" i="3"/>
  <c r="C340" i="3"/>
  <c r="C341" i="3"/>
  <c r="C342" i="3"/>
  <c r="C343" i="3"/>
  <c r="C344" i="3"/>
  <c r="C345" i="3"/>
  <c r="C346" i="3"/>
  <c r="C347" i="3"/>
  <c r="C348" i="3"/>
  <c r="C349" i="3"/>
  <c r="C350" i="3"/>
  <c r="C351" i="3"/>
  <c r="C352" i="3"/>
  <c r="C353" i="3"/>
  <c r="C354" i="3"/>
  <c r="C355" i="3"/>
  <c r="C356" i="3"/>
  <c r="C357" i="3"/>
  <c r="C358" i="3"/>
  <c r="C359" i="3"/>
  <c r="C360" i="3"/>
  <c r="C361" i="3"/>
  <c r="C362" i="3"/>
  <c r="C363" i="3"/>
  <c r="C364" i="3"/>
  <c r="C365" i="3"/>
  <c r="C366" i="3"/>
  <c r="C367" i="3"/>
  <c r="C368" i="3"/>
  <c r="C369" i="3"/>
  <c r="C370" i="3"/>
  <c r="C371" i="3"/>
  <c r="C372" i="3"/>
  <c r="C373" i="3"/>
  <c r="C374" i="3"/>
  <c r="C375" i="3"/>
  <c r="C376" i="3"/>
  <c r="C377" i="3"/>
  <c r="C378" i="3"/>
  <c r="C379" i="3"/>
  <c r="C380" i="3"/>
  <c r="C381" i="3"/>
  <c r="C382" i="3"/>
  <c r="C383" i="3"/>
  <c r="C384" i="3"/>
  <c r="C385" i="3"/>
  <c r="C386" i="3"/>
  <c r="C387" i="3"/>
  <c r="C388" i="3"/>
  <c r="C389" i="3"/>
  <c r="C390" i="3"/>
  <c r="C391" i="3"/>
  <c r="C392" i="3"/>
  <c r="C393" i="3"/>
  <c r="C394" i="3"/>
  <c r="C395" i="3"/>
  <c r="C396" i="3"/>
  <c r="C397" i="3"/>
  <c r="C398" i="3"/>
  <c r="C399" i="3"/>
  <c r="C400" i="3"/>
  <c r="C401" i="3"/>
  <c r="C402" i="3"/>
  <c r="C403" i="3"/>
  <c r="C404" i="3"/>
  <c r="C405" i="3"/>
  <c r="C406" i="3"/>
  <c r="C407" i="3"/>
  <c r="C408" i="3"/>
  <c r="C409" i="3"/>
  <c r="C410" i="3"/>
  <c r="C411" i="3"/>
  <c r="C412" i="3"/>
  <c r="C413" i="3"/>
  <c r="C414" i="3"/>
  <c r="C415" i="3"/>
  <c r="C416" i="3"/>
  <c r="C417" i="3"/>
  <c r="C418" i="3"/>
  <c r="C419" i="3"/>
  <c r="C420" i="3"/>
  <c r="C421" i="3"/>
  <c r="C422" i="3"/>
  <c r="C423" i="3"/>
  <c r="C424" i="3"/>
  <c r="C425" i="3"/>
  <c r="C426" i="3"/>
  <c r="C427" i="3"/>
  <c r="C428" i="3"/>
  <c r="C429" i="3"/>
  <c r="C430" i="3"/>
  <c r="C431" i="3"/>
  <c r="C432" i="3"/>
  <c r="C433" i="3"/>
  <c r="C434" i="3"/>
  <c r="C435" i="3"/>
  <c r="C436" i="3"/>
  <c r="C437" i="3"/>
  <c r="C438" i="3"/>
  <c r="C439" i="3"/>
  <c r="D78" i="1"/>
  <c r="E78" i="1"/>
  <c r="F78" i="1"/>
  <c r="G78" i="1"/>
  <c r="H78" i="1"/>
  <c r="I78" i="1"/>
  <c r="J78" i="1"/>
  <c r="K78" i="1"/>
  <c r="L78" i="1"/>
  <c r="M78" i="1"/>
  <c r="N78" i="1"/>
  <c r="O78" i="1"/>
  <c r="P78" i="1"/>
  <c r="D66" i="1"/>
  <c r="E66" i="1"/>
  <c r="F66" i="1"/>
  <c r="G66" i="1"/>
  <c r="H66" i="1"/>
  <c r="I66" i="1"/>
  <c r="J66" i="1"/>
  <c r="K66" i="1"/>
  <c r="L66" i="1"/>
  <c r="M66" i="1"/>
  <c r="N66" i="1"/>
  <c r="O66" i="1"/>
  <c r="P66" i="1"/>
  <c r="D60" i="1"/>
  <c r="E60" i="1"/>
  <c r="F60" i="1"/>
  <c r="G60" i="1"/>
  <c r="H60" i="1"/>
  <c r="I60" i="1"/>
  <c r="J60" i="1"/>
  <c r="K60" i="1"/>
  <c r="L60" i="1"/>
  <c r="M60" i="1"/>
  <c r="N60" i="1"/>
  <c r="O60" i="1"/>
  <c r="P60" i="1"/>
  <c r="D48" i="1"/>
  <c r="E48" i="1"/>
  <c r="F48" i="1"/>
  <c r="G48" i="1"/>
  <c r="H48" i="1"/>
  <c r="I48" i="1"/>
  <c r="J48" i="1"/>
  <c r="K48" i="1"/>
  <c r="L48" i="1"/>
  <c r="M48" i="1"/>
  <c r="N48" i="1"/>
  <c r="O48" i="1"/>
  <c r="P48" i="1"/>
  <c r="D28" i="1"/>
  <c r="E28" i="1"/>
  <c r="F28" i="1"/>
  <c r="G28" i="1"/>
  <c r="H28" i="1"/>
  <c r="I28" i="1"/>
  <c r="J28" i="1"/>
  <c r="K28" i="1"/>
  <c r="L28" i="1"/>
  <c r="M28" i="1"/>
  <c r="N28" i="1"/>
  <c r="O28" i="1"/>
  <c r="P28" i="1"/>
  <c r="D19" i="1"/>
  <c r="E19" i="1"/>
  <c r="F19" i="1"/>
  <c r="G19" i="1"/>
  <c r="H19" i="1"/>
  <c r="I19" i="1"/>
  <c r="J19" i="1"/>
  <c r="K19" i="1"/>
  <c r="L19" i="1"/>
  <c r="M19" i="1"/>
  <c r="N19" i="1"/>
  <c r="O19" i="1"/>
  <c r="P19" i="1"/>
  <c r="F6" i="1"/>
  <c r="G6" i="1" s="1"/>
  <c r="H6" i="1" s="1"/>
  <c r="I6" i="1" s="1"/>
  <c r="J6" i="1" s="1"/>
  <c r="K6" i="1" s="1"/>
  <c r="L6" i="1" s="1"/>
  <c r="M6" i="1" s="1"/>
  <c r="N6" i="1" s="1"/>
  <c r="O6" i="1" s="1"/>
  <c r="E6" i="1"/>
  <c r="B83" i="1" a="1"/>
  <c r="B83" i="1" s="1"/>
  <c r="B82" i="1" a="1"/>
  <c r="B82" i="1" s="1"/>
  <c r="B81" i="1" a="1"/>
  <c r="B81" i="1" s="1"/>
  <c r="B80" i="1" a="1"/>
  <c r="B80" i="1" s="1"/>
  <c r="B79" i="1" a="1"/>
  <c r="B79" i="1" s="1"/>
  <c r="B75" i="1" a="1"/>
  <c r="B75" i="1" s="1"/>
  <c r="B74" i="1" a="1"/>
  <c r="B74" i="1" s="1"/>
  <c r="B73" i="1" a="1"/>
  <c r="B73" i="1" s="1"/>
  <c r="B72" i="1" a="1"/>
  <c r="B72" i="1" s="1"/>
  <c r="B71" i="1" a="1"/>
  <c r="B71" i="1" s="1"/>
  <c r="B70" i="1" a="1"/>
  <c r="B70" i="1" s="1"/>
  <c r="B69" i="1" a="1"/>
  <c r="B69" i="1" s="1"/>
  <c r="B68" i="1" a="1"/>
  <c r="B68" i="1" s="1"/>
  <c r="B67" i="1" a="1"/>
  <c r="B67" i="1" s="1"/>
  <c r="B63" i="1" a="1"/>
  <c r="B63" i="1" s="1"/>
  <c r="B62" i="1" a="1"/>
  <c r="B62" i="1" s="1"/>
  <c r="B61" i="1" a="1"/>
  <c r="B61" i="1" s="1"/>
  <c r="B57" i="1" a="1"/>
  <c r="B57" i="1" s="1"/>
  <c r="B56" i="1" a="1"/>
  <c r="B56" i="1" s="1"/>
  <c r="B55" i="1" a="1"/>
  <c r="B55" i="1" s="1"/>
  <c r="B54" i="1" a="1"/>
  <c r="B54" i="1" s="1"/>
  <c r="B53" i="1" a="1"/>
  <c r="B53" i="1" s="1"/>
  <c r="B52" i="1" a="1"/>
  <c r="B52" i="1" s="1"/>
  <c r="B51" i="1" a="1"/>
  <c r="B51" i="1" s="1"/>
  <c r="B50" i="1" a="1"/>
  <c r="B50" i="1" s="1"/>
  <c r="B49" i="1" a="1"/>
  <c r="B49" i="1" s="1"/>
  <c r="B45" i="1" a="1"/>
  <c r="B45" i="1" s="1"/>
  <c r="B44" i="1" a="1"/>
  <c r="B44" i="1" s="1"/>
  <c r="B43" i="1" a="1"/>
  <c r="B43" i="1" s="1"/>
  <c r="B42" i="1" a="1"/>
  <c r="B42" i="1" s="1"/>
  <c r="B41" i="1" a="1"/>
  <c r="B41" i="1" s="1"/>
  <c r="B40" i="1" a="1"/>
  <c r="B40" i="1" s="1"/>
  <c r="B39" i="1" a="1"/>
  <c r="B39" i="1" s="1"/>
  <c r="B38" i="1" a="1"/>
  <c r="B38" i="1" s="1"/>
  <c r="B37" i="1" a="1"/>
  <c r="B37" i="1" s="1"/>
  <c r="B36" i="1" a="1"/>
  <c r="B36" i="1" s="1"/>
  <c r="B35" i="1" a="1"/>
  <c r="B35" i="1" s="1"/>
  <c r="B34" i="1" a="1"/>
  <c r="B34" i="1" s="1"/>
  <c r="B33" i="1" a="1"/>
  <c r="B33" i="1" s="1"/>
  <c r="B32" i="1" a="1"/>
  <c r="B32" i="1" s="1"/>
  <c r="B31" i="1" a="1"/>
  <c r="B31" i="1" s="1"/>
  <c r="B30" i="1" a="1"/>
  <c r="B30" i="1" s="1"/>
  <c r="B29" i="1" a="1"/>
  <c r="B29" i="1" s="1"/>
  <c r="A439" i="3"/>
  <c r="A436" i="3"/>
  <c r="A438" i="3"/>
  <c r="A433" i="3"/>
  <c r="A435" i="3"/>
  <c r="A437" i="3"/>
  <c r="A434" i="3"/>
  <c r="A432" i="3"/>
  <c r="A431" i="3"/>
  <c r="A430" i="3"/>
  <c r="A429" i="3"/>
  <c r="A428" i="3"/>
  <c r="A427" i="3"/>
  <c r="A426" i="3"/>
  <c r="A425" i="3"/>
  <c r="A422" i="3"/>
  <c r="A423" i="3"/>
  <c r="A424" i="3"/>
  <c r="A420" i="3"/>
  <c r="A419" i="3"/>
  <c r="A421" i="3"/>
  <c r="A413" i="3"/>
  <c r="A418" i="3"/>
  <c r="A412" i="3"/>
  <c r="A411" i="3"/>
  <c r="A406" i="3"/>
  <c r="A417" i="3"/>
  <c r="A410" i="3"/>
  <c r="A416" i="3"/>
  <c r="A415" i="3"/>
  <c r="A414" i="3"/>
  <c r="A409" i="3"/>
  <c r="A408" i="3"/>
  <c r="A407" i="3"/>
  <c r="A405" i="3"/>
  <c r="A404" i="3"/>
  <c r="A403" i="3"/>
  <c r="A402" i="3"/>
  <c r="A390" i="3"/>
  <c r="A400" i="3"/>
  <c r="A399" i="3"/>
  <c r="A398" i="3"/>
  <c r="A389" i="3"/>
  <c r="A397" i="3"/>
  <c r="A396" i="3"/>
  <c r="A395" i="3"/>
  <c r="A401" i="3"/>
  <c r="A388" i="3"/>
  <c r="A394" i="3"/>
  <c r="A393" i="3"/>
  <c r="A387" i="3"/>
  <c r="A392" i="3"/>
  <c r="A391" i="3"/>
  <c r="A386" i="3"/>
  <c r="A385" i="3"/>
  <c r="A384" i="3"/>
  <c r="A383" i="3"/>
  <c r="A382" i="3"/>
  <c r="A381" i="3"/>
  <c r="A380" i="3"/>
  <c r="A379" i="3"/>
  <c r="A377" i="3"/>
  <c r="A378" i="3"/>
  <c r="A376" i="3"/>
  <c r="A373" i="3"/>
  <c r="A372" i="3"/>
  <c r="A375" i="3"/>
  <c r="A374" i="3"/>
  <c r="A371" i="3"/>
  <c r="A369" i="3"/>
  <c r="A370" i="3"/>
  <c r="A366" i="3"/>
  <c r="A368" i="3"/>
  <c r="A363" i="3"/>
  <c r="A365" i="3"/>
  <c r="A367" i="3"/>
  <c r="A364" i="3"/>
  <c r="A361" i="3"/>
  <c r="A360" i="3"/>
  <c r="A362" i="3"/>
  <c r="A359" i="3"/>
  <c r="A358" i="3"/>
  <c r="A356" i="3"/>
  <c r="A357" i="3"/>
  <c r="A355" i="3"/>
  <c r="A352" i="3"/>
  <c r="A351" i="3"/>
  <c r="A354" i="3"/>
  <c r="A353" i="3"/>
  <c r="A350" i="3"/>
  <c r="A349" i="3"/>
  <c r="A340" i="3"/>
  <c r="A331" i="3"/>
  <c r="A330" i="3"/>
  <c r="A348" i="3"/>
  <c r="A339" i="3"/>
  <c r="A338" i="3"/>
  <c r="A347" i="3"/>
  <c r="A329" i="3"/>
  <c r="A337" i="3"/>
  <c r="A336" i="3"/>
  <c r="A346" i="3"/>
  <c r="A328" i="3"/>
  <c r="A327" i="3"/>
  <c r="A335" i="3"/>
  <c r="A345" i="3"/>
  <c r="A344" i="3"/>
  <c r="A326" i="3"/>
  <c r="A343" i="3"/>
  <c r="A334" i="3"/>
  <c r="A342" i="3"/>
  <c r="A333" i="3"/>
  <c r="A341" i="3"/>
  <c r="A325" i="3"/>
  <c r="A332" i="3"/>
  <c r="A324" i="3"/>
  <c r="A323" i="3"/>
  <c r="A320" i="3"/>
  <c r="A322" i="3"/>
  <c r="A321" i="3"/>
  <c r="A314" i="3"/>
  <c r="A313" i="3"/>
  <c r="A319" i="3"/>
  <c r="A312" i="3"/>
  <c r="A311" i="3"/>
  <c r="A317" i="3"/>
  <c r="A310" i="3"/>
  <c r="A316" i="3"/>
  <c r="A318" i="3"/>
  <c r="A309" i="3"/>
  <c r="A315" i="3"/>
  <c r="A308" i="3"/>
  <c r="A307" i="3"/>
  <c r="A306" i="3"/>
  <c r="A305" i="3"/>
  <c r="A304" i="3"/>
  <c r="A303" i="3"/>
  <c r="A302" i="3"/>
  <c r="A301" i="3"/>
  <c r="A300" i="3"/>
  <c r="A299" i="3"/>
  <c r="A298" i="3"/>
  <c r="A297" i="3"/>
  <c r="A295" i="3"/>
  <c r="A296" i="3"/>
  <c r="A294" i="3"/>
  <c r="A293" i="3"/>
  <c r="A292" i="3"/>
  <c r="A291" i="3"/>
  <c r="A290" i="3"/>
  <c r="A289" i="3"/>
  <c r="A288" i="3"/>
  <c r="A287" i="3"/>
  <c r="A286" i="3"/>
  <c r="A285" i="3"/>
  <c r="A283" i="3"/>
  <c r="A284" i="3"/>
  <c r="A282" i="3"/>
  <c r="A281" i="3"/>
  <c r="A280" i="3"/>
  <c r="A279" i="3"/>
  <c r="A278" i="3"/>
  <c r="A277" i="3"/>
  <c r="A276" i="3"/>
  <c r="A273" i="3"/>
  <c r="A275" i="3"/>
  <c r="A274" i="3"/>
  <c r="A272" i="3"/>
  <c r="A270" i="3"/>
  <c r="A271" i="3"/>
  <c r="A269" i="3"/>
  <c r="A268" i="3"/>
  <c r="A265" i="3"/>
  <c r="A267" i="3"/>
  <c r="A266" i="3"/>
  <c r="A264" i="3"/>
  <c r="A263" i="3"/>
  <c r="A262" i="3"/>
  <c r="A261" i="3"/>
  <c r="A260" i="3"/>
  <c r="A256" i="3"/>
  <c r="A259" i="3"/>
  <c r="A258" i="3"/>
  <c r="A257" i="3"/>
  <c r="A255" i="3"/>
  <c r="A251" i="3"/>
  <c r="A254" i="3"/>
  <c r="A252" i="3"/>
  <c r="A250" i="3"/>
  <c r="A253" i="3"/>
  <c r="A249" i="3"/>
  <c r="A248" i="3"/>
  <c r="A245" i="3"/>
  <c r="A247" i="3"/>
  <c r="A244" i="3"/>
  <c r="A246" i="3"/>
  <c r="A243" i="3"/>
  <c r="A242" i="3"/>
  <c r="A241" i="3"/>
  <c r="A240" i="3"/>
  <c r="A239" i="3"/>
  <c r="A237" i="3"/>
  <c r="A238" i="3"/>
  <c r="A235" i="3"/>
  <c r="A236" i="3"/>
  <c r="A233" i="3"/>
  <c r="A234" i="3"/>
  <c r="A232" i="3"/>
  <c r="A231" i="3"/>
  <c r="A229" i="3"/>
  <c r="A228" i="3"/>
  <c r="A226" i="3"/>
  <c r="A225" i="3"/>
  <c r="A230" i="3"/>
  <c r="A227" i="3"/>
  <c r="A224" i="3"/>
  <c r="A223" i="3"/>
  <c r="A222" i="3"/>
  <c r="A221" i="3"/>
  <c r="A217" i="3"/>
  <c r="A220" i="3"/>
  <c r="A219" i="3"/>
  <c r="A218" i="3"/>
  <c r="A216" i="3"/>
  <c r="A213" i="3"/>
  <c r="A215" i="3"/>
  <c r="A214" i="3"/>
  <c r="A201" i="3"/>
  <c r="A206" i="3"/>
  <c r="A212" i="3"/>
  <c r="A205" i="3"/>
  <c r="A211" i="3"/>
  <c r="A200" i="3"/>
  <c r="A199" i="3"/>
  <c r="A198" i="3"/>
  <c r="A210" i="3"/>
  <c r="A197" i="3"/>
  <c r="A204" i="3"/>
  <c r="A196" i="3"/>
  <c r="A209" i="3"/>
  <c r="A203" i="3"/>
  <c r="A202" i="3"/>
  <c r="A208" i="3"/>
  <c r="A207" i="3"/>
  <c r="A195" i="3"/>
  <c r="A194" i="3"/>
  <c r="A193" i="3"/>
  <c r="A192" i="3"/>
  <c r="A191" i="3"/>
  <c r="A190" i="3"/>
  <c r="A189" i="3"/>
  <c r="A186" i="3"/>
  <c r="A182" i="3"/>
  <c r="A188" i="3"/>
  <c r="A181" i="3"/>
  <c r="A187" i="3"/>
  <c r="A185" i="3"/>
  <c r="A180" i="3"/>
  <c r="A179" i="3"/>
  <c r="A184" i="3"/>
  <c r="A178" i="3"/>
  <c r="A177" i="3"/>
  <c r="A183" i="3"/>
  <c r="A176" i="3"/>
  <c r="A175" i="3"/>
  <c r="A174" i="3"/>
  <c r="A173" i="3"/>
  <c r="A171" i="3"/>
  <c r="A170" i="3"/>
  <c r="A172" i="3"/>
  <c r="A169" i="3"/>
  <c r="A168" i="3"/>
  <c r="A167" i="3"/>
  <c r="A161" i="3"/>
  <c r="A166" i="3"/>
  <c r="A164" i="3"/>
  <c r="A163" i="3"/>
  <c r="A165" i="3"/>
  <c r="A162" i="3"/>
  <c r="A159" i="3"/>
  <c r="A158" i="3"/>
  <c r="A160" i="3"/>
  <c r="A157" i="3"/>
  <c r="A153" i="3"/>
  <c r="A156" i="3"/>
  <c r="A152" i="3"/>
  <c r="A155" i="3"/>
  <c r="A154" i="3"/>
  <c r="A146" i="3"/>
  <c r="A149" i="3"/>
  <c r="A148" i="3"/>
  <c r="A151" i="3"/>
  <c r="A147" i="3"/>
  <c r="A150" i="3"/>
  <c r="A145" i="3"/>
  <c r="A140" i="3"/>
  <c r="A139" i="3"/>
  <c r="A144" i="3"/>
  <c r="A143" i="3"/>
  <c r="A138" i="3"/>
  <c r="A142" i="3"/>
  <c r="A137" i="3"/>
  <c r="A136" i="3"/>
  <c r="A141" i="3"/>
  <c r="A133" i="3"/>
  <c r="A135" i="3"/>
  <c r="A134" i="3"/>
  <c r="A132" i="3"/>
  <c r="A131" i="3"/>
  <c r="A129" i="3"/>
  <c r="A128" i="3"/>
  <c r="A127" i="3"/>
  <c r="A130" i="3"/>
  <c r="A116" i="3"/>
  <c r="A105" i="3"/>
  <c r="A104" i="3"/>
  <c r="A126" i="3"/>
  <c r="A103" i="3"/>
  <c r="A115" i="3"/>
  <c r="A125" i="3"/>
  <c r="A114" i="3"/>
  <c r="A124" i="3"/>
  <c r="A123" i="3"/>
  <c r="A113" i="3"/>
  <c r="A112" i="3"/>
  <c r="A111" i="3"/>
  <c r="A122" i="3"/>
  <c r="A110" i="3"/>
  <c r="A102" i="3"/>
  <c r="A121" i="3"/>
  <c r="A120" i="3"/>
  <c r="A109" i="3"/>
  <c r="A108" i="3"/>
  <c r="A119" i="3"/>
  <c r="A118" i="3"/>
  <c r="A107" i="3"/>
  <c r="A101" i="3"/>
  <c r="A117" i="3"/>
  <c r="A100" i="3"/>
  <c r="A106" i="3"/>
  <c r="A98" i="3"/>
  <c r="A99" i="3"/>
  <c r="A97" i="3"/>
  <c r="A96" i="3"/>
  <c r="A90" i="3"/>
  <c r="A94" i="3"/>
  <c r="A93" i="3"/>
  <c r="A92" i="3"/>
  <c r="A89" i="3"/>
  <c r="A88" i="3"/>
  <c r="A87" i="3"/>
  <c r="A91" i="3"/>
  <c r="A86" i="3"/>
  <c r="A95" i="3"/>
  <c r="A85" i="3"/>
  <c r="A82" i="3"/>
  <c r="A83" i="3"/>
  <c r="A84" i="3"/>
  <c r="A80" i="3"/>
  <c r="A81" i="3"/>
  <c r="A79" i="3"/>
  <c r="A78" i="3"/>
  <c r="A76" i="3"/>
  <c r="A77" i="3"/>
  <c r="A75" i="3"/>
  <c r="A74" i="3"/>
  <c r="A73" i="3"/>
  <c r="A72" i="3"/>
  <c r="A70" i="3"/>
  <c r="A69" i="3"/>
  <c r="A71" i="3"/>
  <c r="A67" i="3"/>
  <c r="A65" i="3"/>
  <c r="A68" i="3"/>
  <c r="A66" i="3"/>
  <c r="A64" i="3"/>
  <c r="A63" i="3"/>
  <c r="A62" i="3"/>
  <c r="A60" i="3"/>
  <c r="A61" i="3"/>
  <c r="A59" i="3"/>
  <c r="A58" i="3"/>
  <c r="A57" i="3"/>
  <c r="A56" i="3"/>
  <c r="A55" i="3"/>
  <c r="A54" i="3"/>
  <c r="A53" i="3"/>
  <c r="A52" i="3"/>
  <c r="A50" i="3"/>
  <c r="A51" i="3"/>
  <c r="A49" i="3"/>
  <c r="A48" i="3"/>
  <c r="A47" i="3"/>
  <c r="A46" i="3"/>
  <c r="A44" i="3"/>
  <c r="A43" i="3"/>
  <c r="A42" i="3"/>
  <c r="A45" i="3"/>
  <c r="A41" i="3"/>
  <c r="A38" i="3"/>
  <c r="A40" i="3"/>
  <c r="A39" i="3"/>
  <c r="A35" i="3"/>
  <c r="A37" i="3"/>
  <c r="A36" i="3"/>
  <c r="A32" i="3"/>
  <c r="A31" i="3"/>
  <c r="A30" i="3"/>
  <c r="A34" i="3"/>
  <c r="A33" i="3"/>
  <c r="A29" i="3"/>
  <c r="A23" i="3"/>
  <c r="A26" i="3"/>
  <c r="A25" i="3"/>
  <c r="A22" i="3"/>
  <c r="A21" i="3"/>
  <c r="A20" i="3"/>
  <c r="A28" i="3"/>
  <c r="A24" i="3"/>
  <c r="A27" i="3"/>
  <c r="A19" i="3"/>
  <c r="A12" i="3"/>
  <c r="A18" i="3"/>
  <c r="A17" i="3"/>
  <c r="A15" i="3"/>
  <c r="A14" i="3"/>
  <c r="A13" i="3"/>
  <c r="A16" i="3"/>
  <c r="A10" i="3"/>
  <c r="A11" i="3"/>
  <c r="A9" i="3"/>
  <c r="A8" i="3"/>
  <c r="A7" i="3"/>
  <c r="A4" i="3"/>
  <c r="A3" i="3"/>
  <c r="A6" i="3"/>
  <c r="A5" i="3"/>
  <c r="A2" i="3"/>
  <c r="P24" i="1" l="1"/>
  <c r="P21" i="1"/>
  <c r="P23" i="1"/>
  <c r="P25" i="1"/>
  <c r="P22" i="1"/>
  <c r="M84" i="1"/>
  <c r="P75" i="1"/>
  <c r="P74" i="1"/>
  <c r="P73" i="1"/>
  <c r="P72" i="1"/>
  <c r="P71" i="1"/>
  <c r="P70" i="1"/>
  <c r="P69" i="1"/>
  <c r="P68" i="1"/>
  <c r="H64" i="1"/>
  <c r="M58" i="1"/>
  <c r="H46" i="1"/>
  <c r="O26" i="1"/>
  <c r="O8" i="1" s="1"/>
  <c r="O7" i="1" s="1"/>
  <c r="N26" i="1"/>
  <c r="N8" i="1" s="1"/>
  <c r="N7" i="1" s="1"/>
  <c r="M26" i="1"/>
  <c r="L26" i="1"/>
  <c r="K26" i="1"/>
  <c r="K8" i="1" s="1"/>
  <c r="K7" i="1" s="1"/>
  <c r="J26" i="1"/>
  <c r="J8" i="1" s="1"/>
  <c r="J7" i="1" s="1"/>
  <c r="I26" i="1"/>
  <c r="I8" i="1" s="1"/>
  <c r="I7" i="1" s="1"/>
  <c r="H26" i="1"/>
  <c r="H8" i="1" s="1"/>
  <c r="H7" i="1" s="1"/>
  <c r="G26" i="1"/>
  <c r="G8" i="1" s="1"/>
  <c r="G7" i="1" s="1"/>
  <c r="F26" i="1"/>
  <c r="F8" i="1" s="1"/>
  <c r="F7" i="1" s="1"/>
  <c r="E26" i="1"/>
  <c r="D26" i="1"/>
  <c r="P20" i="1"/>
  <c r="P4" i="1"/>
  <c r="P52" i="1" l="1"/>
  <c r="P53" i="1"/>
  <c r="P62" i="1"/>
  <c r="N58" i="1"/>
  <c r="P50" i="1"/>
  <c r="O58" i="1"/>
  <c r="P54" i="1"/>
  <c r="P63" i="1"/>
  <c r="F58" i="1"/>
  <c r="I64" i="1"/>
  <c r="G58" i="1"/>
  <c r="J64" i="1"/>
  <c r="H58" i="1"/>
  <c r="K64" i="1"/>
  <c r="H76" i="1"/>
  <c r="O76" i="1"/>
  <c r="G76" i="1"/>
  <c r="N76" i="1"/>
  <c r="F76" i="1"/>
  <c r="M76" i="1"/>
  <c r="E76" i="1"/>
  <c r="K76" i="1"/>
  <c r="L76" i="1"/>
  <c r="J76" i="1"/>
  <c r="I76" i="1"/>
  <c r="P43" i="1"/>
  <c r="I46" i="1"/>
  <c r="P45" i="1"/>
  <c r="P55" i="1"/>
  <c r="I58" i="1"/>
  <c r="L64" i="1"/>
  <c r="P80" i="1"/>
  <c r="H84" i="1"/>
  <c r="P35" i="1"/>
  <c r="P44" i="1"/>
  <c r="N84" i="1"/>
  <c r="P37" i="1"/>
  <c r="G84" i="1"/>
  <c r="O84" i="1"/>
  <c r="P30" i="1"/>
  <c r="P38" i="1"/>
  <c r="L46" i="1"/>
  <c r="P26" i="1"/>
  <c r="P31" i="1"/>
  <c r="P39" i="1"/>
  <c r="E46" i="1"/>
  <c r="M46" i="1"/>
  <c r="P56" i="1"/>
  <c r="J58" i="1"/>
  <c r="E64" i="1"/>
  <c r="M64" i="1"/>
  <c r="P81" i="1"/>
  <c r="I84" i="1"/>
  <c r="E8" i="1"/>
  <c r="E7" i="1" s="1"/>
  <c r="M8" i="1"/>
  <c r="M7" i="1" s="1"/>
  <c r="P32" i="1"/>
  <c r="P40" i="1"/>
  <c r="F46" i="1"/>
  <c r="N46" i="1"/>
  <c r="P57" i="1"/>
  <c r="K58" i="1"/>
  <c r="F64" i="1"/>
  <c r="N64" i="1"/>
  <c r="P82" i="1"/>
  <c r="J84" i="1"/>
  <c r="D8" i="1"/>
  <c r="P33" i="1"/>
  <c r="G64" i="1"/>
  <c r="O64" i="1"/>
  <c r="P83" i="1"/>
  <c r="K84" i="1"/>
  <c r="P36" i="1"/>
  <c r="J46" i="1"/>
  <c r="J86" i="1" s="1"/>
  <c r="J11" i="1" s="1"/>
  <c r="F84" i="1"/>
  <c r="L8" i="1"/>
  <c r="L7" i="1" s="1"/>
  <c r="K46" i="1"/>
  <c r="P41" i="1"/>
  <c r="G46" i="1"/>
  <c r="O46" i="1"/>
  <c r="L58" i="1"/>
  <c r="P34" i="1"/>
  <c r="P42" i="1"/>
  <c r="P51" i="1"/>
  <c r="E58" i="1"/>
  <c r="L84" i="1"/>
  <c r="E84" i="1"/>
  <c r="G5" i="1" l="1"/>
  <c r="H5" i="1"/>
  <c r="J5" i="1"/>
  <c r="I5" i="1"/>
  <c r="K5" i="1"/>
  <c r="L5" i="1"/>
  <c r="M5" i="1"/>
  <c r="N5" i="1"/>
  <c r="O5" i="1"/>
  <c r="D5" i="1"/>
  <c r="E5" i="1"/>
  <c r="F5" i="1"/>
  <c r="H86" i="1"/>
  <c r="H11" i="1" s="1"/>
  <c r="H10" i="1" s="1"/>
  <c r="N86" i="1"/>
  <c r="N11" i="1" s="1"/>
  <c r="N14" i="1" s="1"/>
  <c r="I86" i="1"/>
  <c r="I11" i="1" s="1"/>
  <c r="I10" i="1" s="1"/>
  <c r="G86" i="1"/>
  <c r="G11" i="1" s="1"/>
  <c r="G14" i="1" s="1"/>
  <c r="M86" i="1"/>
  <c r="M11" i="1" s="1"/>
  <c r="M14" i="1" s="1"/>
  <c r="F86" i="1"/>
  <c r="F11" i="1" s="1"/>
  <c r="F10" i="1" s="1"/>
  <c r="L86" i="1"/>
  <c r="L11" i="1" s="1"/>
  <c r="L10" i="1" s="1"/>
  <c r="J10" i="1"/>
  <c r="J14" i="1"/>
  <c r="P29" i="1"/>
  <c r="P46" i="1" s="1"/>
  <c r="D46" i="1"/>
  <c r="D64" i="1"/>
  <c r="P61" i="1"/>
  <c r="P64" i="1" s="1"/>
  <c r="E86" i="1"/>
  <c r="E11" i="1" s="1"/>
  <c r="K86" i="1"/>
  <c r="K11" i="1" s="1"/>
  <c r="D84" i="1"/>
  <c r="P79" i="1"/>
  <c r="P84" i="1" s="1"/>
  <c r="P67" i="1"/>
  <c r="P76" i="1" s="1"/>
  <c r="D76" i="1"/>
  <c r="P8" i="1"/>
  <c r="D7" i="1"/>
  <c r="P7" i="1" s="1"/>
  <c r="O86" i="1"/>
  <c r="O11" i="1" s="1"/>
  <c r="D58" i="1"/>
  <c r="P49" i="1"/>
  <c r="P58" i="1" s="1"/>
  <c r="H14" i="1" l="1"/>
  <c r="H13" i="1" s="1"/>
  <c r="N10" i="1"/>
  <c r="I14" i="1"/>
  <c r="I16" i="1" s="1"/>
  <c r="G10" i="1"/>
  <c r="M10" i="1"/>
  <c r="L14" i="1"/>
  <c r="L16" i="1" s="1"/>
  <c r="F14" i="1"/>
  <c r="F16" i="1" s="1"/>
  <c r="E14" i="1"/>
  <c r="E10" i="1"/>
  <c r="G16" i="1"/>
  <c r="G13" i="1"/>
  <c r="O10" i="1"/>
  <c r="O14" i="1"/>
  <c r="D86" i="1"/>
  <c r="D11" i="1" s="1"/>
  <c r="P86" i="1"/>
  <c r="N16" i="1"/>
  <c r="N13" i="1"/>
  <c r="P5" i="1"/>
  <c r="J13" i="1"/>
  <c r="J16" i="1"/>
  <c r="K10" i="1"/>
  <c r="K14" i="1"/>
  <c r="M13" i="1"/>
  <c r="M16" i="1"/>
  <c r="H16" i="1" l="1"/>
  <c r="I13" i="1"/>
  <c r="F13" i="1"/>
  <c r="L13" i="1"/>
  <c r="O16" i="1"/>
  <c r="O13" i="1"/>
  <c r="K16" i="1"/>
  <c r="K13" i="1"/>
  <c r="D10" i="1"/>
  <c r="P10" i="1" s="1"/>
  <c r="D14" i="1"/>
  <c r="P11" i="1"/>
  <c r="E13" i="1"/>
  <c r="E16" i="1"/>
  <c r="P14" i="1" l="1"/>
  <c r="P16" i="1" s="1"/>
  <c r="D16" i="1"/>
  <c r="D13" i="1"/>
  <c r="P13" i="1" s="1"/>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7A9E7318-431B-4986-B055-BA59972B1966}" keepAlive="1" name="Query - Append1" description="Connection to the 'Append1' query in the workbook." type="5" refreshedVersion="6" background="1" saveData="1">
    <dbPr connection="Provider=Microsoft.Mashup.OleDb.1;Data Source=$Workbook$;Location=Append1;Extended Properties=&quot;&quot;" command="SELECT * FROM [Append1]"/>
  </connection>
  <connection id="2" xr16:uid="{192A1E01-6F0F-482B-8718-577B3081F07A}" keepAlive="1" name="Query - tbl_GLExpense" description="Connection to the 'tbl_GLExpense' query in the workbook." type="5" refreshedVersion="6" background="1" saveData="1">
    <dbPr connection="Provider=Microsoft.Mashup.OleDb.1;Data Source=$Workbook$;Location=tbl_GLExpense;Extended Properties=&quot;&quot;" command="SELECT * FROM [tbl_GLExpense]"/>
  </connection>
  <connection id="3" xr16:uid="{BF814ECE-9F0C-40E4-9112-E3275B143175}" keepAlive="1" name="Query - tbl_GLSalesDetail" description="Connection to the 'tbl_GLSalesDetail' query in the workbook." type="5" refreshedVersion="6" background="1" saveData="1">
    <dbPr connection="Provider=Microsoft.Mashup.OleDb.1;Data Source=$Workbook$;Location=tbl_GLSalesDetail;Extended Properties=&quot;&quot;" command="SELECT * FROM [tbl_GLSalesDetail]"/>
  </connection>
  <connection id="4" xr16:uid="{376F738F-370F-4F40-A8F7-355978FF64BA}" keepAlive="1" name="ThisWorkbookDataModel" description="Data Model" type="5" refreshedVersion="6" minRefreshableVersion="5" background="1">
    <dbPr connection="Data Model Connection" command="Model" commandType="1"/>
    <olapPr sendLocale="1" rowDrillCount="1000"/>
    <extLst>
      <ext xmlns:x15="http://schemas.microsoft.com/office/spreadsheetml/2010/11/main" uri="{DE250136-89BD-433C-8126-D09CA5730AF9}">
        <x15:connection id="" model="1"/>
      </ext>
    </extLst>
  </connection>
  <connection id="5" xr16:uid="{1B8F4E5A-41B3-430F-9FEC-15F038A19644}" name="WorksheetConnection_12-Month Cash Flow.xlsm!tbl_ChartOfAccounts" type="102" refreshedVersion="6" minRefreshableVersion="5">
    <extLst>
      <ext xmlns:x15="http://schemas.microsoft.com/office/spreadsheetml/2010/11/main" uri="{DE250136-89BD-433C-8126-D09CA5730AF9}">
        <x15:connection id="tbl_ChartOfAccounts">
          <x15:rangePr sourceName="_xlcn.WorksheetConnection_12MonthCashFlow.xlsmtbl_ChartOfAccounts"/>
        </x15:connection>
      </ext>
    </extLst>
  </connection>
  <connection id="6" xr16:uid="{9D1CA848-D3AE-4D03-B8F3-DD30A7E012EC}" name="WorksheetConnection_12-Month Cash Flow.xlsm!tbl_GLExpense" type="102" refreshedVersion="6" minRefreshableVersion="5">
    <extLst>
      <ext xmlns:x15="http://schemas.microsoft.com/office/spreadsheetml/2010/11/main" uri="{DE250136-89BD-433C-8126-D09CA5730AF9}">
        <x15:connection id="tbl_GLExpense">
          <x15:rangePr sourceName="_xlcn.WorksheetConnection_12MonthCashFlow.xlsmtbl_GLExpense"/>
        </x15:connection>
      </ext>
    </extLst>
  </connection>
  <connection id="7" xr16:uid="{E6D73A87-3B41-4387-9FDD-F4A19050135F}" name="WorksheetConnection_12-Month Cash Flow.xlsm!tbl_GLSalesDetail" type="102" refreshedVersion="6" minRefreshableVersion="5">
    <extLst>
      <ext xmlns:x15="http://schemas.microsoft.com/office/spreadsheetml/2010/11/main" uri="{DE250136-89BD-433C-8126-D09CA5730AF9}">
        <x15:connection id="tbl_GLSalesDetail">
          <x15:rangePr sourceName="_xlcn.WorksheetConnection_12MonthCashFlow.xlsmtbl_GLSalesDetail"/>
        </x15:connection>
      </ext>
    </extLst>
  </connection>
</connection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<sst xmlns="http://schemas.openxmlformats.org/spreadsheetml/2006/main" count="7137" uniqueCount="216">
  <si>
    <t>12-Month Cash Flow and Budget</t>
  </si>
  <si>
    <t>Monthly Assumptions</t>
  </si>
  <si>
    <t>Weeks</t>
  </si>
  <si>
    <t>Seasonality effect</t>
  </si>
  <si>
    <t>Month</t>
  </si>
  <si>
    <t>Total</t>
  </si>
  <si>
    <t>Gross Weekly Revenue</t>
  </si>
  <si>
    <t>Gross Monthly Revenue</t>
  </si>
  <si>
    <t>Gross Weekly Expense</t>
  </si>
  <si>
    <t>Gross Monthly Expense</t>
  </si>
  <si>
    <t>Net Weekly Revenue</t>
  </si>
  <si>
    <t>Net Monthly Revenue</t>
  </si>
  <si>
    <t>Net Profit %</t>
  </si>
  <si>
    <t>Status (Actual/Budget)</t>
  </si>
  <si>
    <t>Revenue</t>
  </si>
  <si>
    <t>Cash Sales</t>
  </si>
  <si>
    <t>Accounts Receivable</t>
  </si>
  <si>
    <t>Interest Income</t>
  </si>
  <si>
    <t>Loans</t>
  </si>
  <si>
    <t>Other Cash In</t>
  </si>
  <si>
    <t>Total Revenue</t>
  </si>
  <si>
    <t>General Expense</t>
  </si>
  <si>
    <t>Office/Plant Rent or Lease</t>
  </si>
  <si>
    <t>Equipment Rent or Lease</t>
  </si>
  <si>
    <t>Vehicle Rent or Lease</t>
  </si>
  <si>
    <t>Repairs and Maintenance</t>
  </si>
  <si>
    <t>Taxes, Licenses and Feeds</t>
  </si>
  <si>
    <t>General Travel and Entertainment</t>
  </si>
  <si>
    <t>Utilities</t>
  </si>
  <si>
    <t>Phone</t>
  </si>
  <si>
    <t>Internet</t>
  </si>
  <si>
    <t>Office Supplies</t>
  </si>
  <si>
    <t>Legal, Accounting and Professional</t>
  </si>
  <si>
    <t>Building or Facility Improvements</t>
  </si>
  <si>
    <t>Insurance (building, property, liability, vehicle)</t>
  </si>
  <si>
    <t>Mortgage Payment</t>
  </si>
  <si>
    <t>Loan Payments</t>
  </si>
  <si>
    <t>Other Interest Expenses</t>
  </si>
  <si>
    <t>Other General Expenses</t>
  </si>
  <si>
    <t>Total General Expense</t>
  </si>
  <si>
    <t>Sales, Marketing and Advertising Expense (SMA)</t>
  </si>
  <si>
    <t>Print Advertising</t>
  </si>
  <si>
    <t>Direct Mail</t>
  </si>
  <si>
    <t>Inernet (Search Engine Marketing (SEM))</t>
  </si>
  <si>
    <t>Inernet (Search Engine Optimization (SEO))</t>
  </si>
  <si>
    <t>Website</t>
  </si>
  <si>
    <t>Displays</t>
  </si>
  <si>
    <t>Fairs, Festivals, and Trade Shows</t>
  </si>
  <si>
    <t>SMA Travel and Entertainment</t>
  </si>
  <si>
    <t>Other SMA Expense</t>
  </si>
  <si>
    <t>Total Sales, Marketing and Advertising Expense</t>
  </si>
  <si>
    <t>Operations Expenses</t>
  </si>
  <si>
    <t>Materials and Supplies</t>
  </si>
  <si>
    <t>Purchases for Resale</t>
  </si>
  <si>
    <t>Other Operations Expenses</t>
  </si>
  <si>
    <t>Total Operations Expense</t>
  </si>
  <si>
    <t>Labor/Payroll Expense</t>
  </si>
  <si>
    <t>Salary</t>
  </si>
  <si>
    <t>Contract Labor</t>
  </si>
  <si>
    <t>Commissions</t>
  </si>
  <si>
    <t>Bonus</t>
  </si>
  <si>
    <t>Payroll Taxes</t>
  </si>
  <si>
    <t>Employee Benefits</t>
  </si>
  <si>
    <t>Health Insurance</t>
  </si>
  <si>
    <t>Owner's Draw</t>
  </si>
  <si>
    <t>Other Labor/Payroll Expense</t>
  </si>
  <si>
    <t>Total Labor/Payroll Expense</t>
  </si>
  <si>
    <t>Other Expenses</t>
  </si>
  <si>
    <t>Other Expense 1</t>
  </si>
  <si>
    <t>Other Expense 2</t>
  </si>
  <si>
    <t>Other Expense 3</t>
  </si>
  <si>
    <t>Other Expense 4</t>
  </si>
  <si>
    <t>Other Expense 5</t>
  </si>
  <si>
    <t>Total Other Expense</t>
  </si>
  <si>
    <t>Total Expenses</t>
  </si>
  <si>
    <t>Category</t>
  </si>
  <si>
    <t>Description</t>
  </si>
  <si>
    <t>Expense</t>
  </si>
  <si>
    <t>Sub-Category</t>
  </si>
  <si>
    <t>Primary GL Account Group</t>
  </si>
  <si>
    <t>Secondary GL Account Group</t>
  </si>
  <si>
    <t>GL Code</t>
  </si>
  <si>
    <t>Order ID</t>
  </si>
  <si>
    <t>Sales Rep</t>
  </si>
  <si>
    <t>Region</t>
  </si>
  <si>
    <t>Customer Name</t>
  </si>
  <si>
    <t>Product Name</t>
  </si>
  <si>
    <t>Sales</t>
  </si>
  <si>
    <t>Customer</t>
  </si>
  <si>
    <t>Address</t>
  </si>
  <si>
    <t>City</t>
  </si>
  <si>
    <t>State/Province</t>
  </si>
  <si>
    <t>Laura Giussani</t>
  </si>
  <si>
    <t>East</t>
  </si>
  <si>
    <t>Company C</t>
  </si>
  <si>
    <t>Candy</t>
  </si>
  <si>
    <t>Chocolate</t>
  </si>
  <si>
    <t>Check</t>
  </si>
  <si>
    <t>Thomas Axen</t>
  </si>
  <si>
    <t>123 3rd Street</t>
  </si>
  <si>
    <t>Los Angelas</t>
  </si>
  <si>
    <t>CA</t>
  </si>
  <si>
    <t>Beverages</t>
  </si>
  <si>
    <t>Beer</t>
  </si>
  <si>
    <t>Credit</t>
  </si>
  <si>
    <t>Nancy Freehafer</t>
  </si>
  <si>
    <t>South</t>
  </si>
  <si>
    <t>Company Z</t>
  </si>
  <si>
    <t>Pasta</t>
  </si>
  <si>
    <t>Ravioli</t>
  </si>
  <si>
    <t>Run Liu</t>
  </si>
  <si>
    <t>789 26th Street</t>
  </si>
  <si>
    <t>Miami</t>
  </si>
  <si>
    <t>FL</t>
  </si>
  <si>
    <t>Oil</t>
  </si>
  <si>
    <t>Olive Oil</t>
  </si>
  <si>
    <t>Anne Hellung-Larsen</t>
  </si>
  <si>
    <t>North</t>
  </si>
  <si>
    <t>Company F</t>
  </si>
  <si>
    <t>Jams, Preserves</t>
  </si>
  <si>
    <t>Marmalade</t>
  </si>
  <si>
    <t>Francisco Pérez-Olaeta</t>
  </si>
  <si>
    <t>123 6th Street</t>
  </si>
  <si>
    <t>Milwaukee</t>
  </si>
  <si>
    <t>WI</t>
  </si>
  <si>
    <t>Robert Zare</t>
  </si>
  <si>
    <t>Company J</t>
  </si>
  <si>
    <t>Grains</t>
  </si>
  <si>
    <t>Long Grain Rice</t>
  </si>
  <si>
    <t>Roland Wacker</t>
  </si>
  <si>
    <t>123 10th Street</t>
  </si>
  <si>
    <t>Chicago</t>
  </si>
  <si>
    <t>IL</t>
  </si>
  <si>
    <t>Boysenberry Spread</t>
  </si>
  <si>
    <t>Dairy Products</t>
  </si>
  <si>
    <t>Mozzarella</t>
  </si>
  <si>
    <t>Jan Kotas</t>
  </si>
  <si>
    <t>Company AA</t>
  </si>
  <si>
    <t>Karen Toh</t>
  </si>
  <si>
    <t>789 27th Street</t>
  </si>
  <si>
    <t>Las Vegas</t>
  </si>
  <si>
    <t>NV</t>
  </si>
  <si>
    <t>Dried Fruit &amp; Nuts</t>
  </si>
  <si>
    <t>Dried Plums</t>
  </si>
  <si>
    <t>Green Tea</t>
  </si>
  <si>
    <t>Cash</t>
  </si>
  <si>
    <t>Mariya Sergienko</t>
  </si>
  <si>
    <t>West</t>
  </si>
  <si>
    <t>Company D</t>
  </si>
  <si>
    <t>Dried Pears</t>
  </si>
  <si>
    <t>Christina Lee</t>
  </si>
  <si>
    <t>123 4th Street</t>
  </si>
  <si>
    <t>New York</t>
  </si>
  <si>
    <t>NY</t>
  </si>
  <si>
    <t>Dried Apples</t>
  </si>
  <si>
    <t>Michael Neipper</t>
  </si>
  <si>
    <t>Company L</t>
  </si>
  <si>
    <t>Almonds</t>
  </si>
  <si>
    <t>John Edwards</t>
  </si>
  <si>
    <t>123 12th Street</t>
  </si>
  <si>
    <t>Chai</t>
  </si>
  <si>
    <t>Coffee</t>
  </si>
  <si>
    <t>Company H</t>
  </si>
  <si>
    <t>Baked Goods &amp; Mixes</t>
  </si>
  <si>
    <t>Chocolate Biscuits Mix</t>
  </si>
  <si>
    <t>Elizabeth Andersen</t>
  </si>
  <si>
    <t>123 8th Street</t>
  </si>
  <si>
    <t>Portland</t>
  </si>
  <si>
    <t>OR</t>
  </si>
  <si>
    <t>Condiments</t>
  </si>
  <si>
    <t>Syrup</t>
  </si>
  <si>
    <t>Company CC</t>
  </si>
  <si>
    <t>Soo Jung Lee</t>
  </si>
  <si>
    <t>789 29th Street</t>
  </si>
  <si>
    <t>Denver</t>
  </si>
  <si>
    <t>CO</t>
  </si>
  <si>
    <t>Soups</t>
  </si>
  <si>
    <t>Clam Chowder</t>
  </si>
  <si>
    <t>Sauces</t>
  </si>
  <si>
    <t>Curry Sauce</t>
  </si>
  <si>
    <t>Company BB</t>
  </si>
  <si>
    <t>Amritansh Raghav</t>
  </si>
  <si>
    <t>789 28th Street</t>
  </si>
  <si>
    <t>Memphis</t>
  </si>
  <si>
    <t>TN</t>
  </si>
  <si>
    <t>Scones</t>
  </si>
  <si>
    <t>Cajun Seasoning</t>
  </si>
  <si>
    <t>Company I</t>
  </si>
  <si>
    <t>Sven Mortensen</t>
  </si>
  <si>
    <t>123 9th Street</t>
  </si>
  <si>
    <t>Salt Lake City</t>
  </si>
  <si>
    <t>UT</t>
  </si>
  <si>
    <t>Canned Meat</t>
  </si>
  <si>
    <t>Crab Meat</t>
  </si>
  <si>
    <t>Company Y</t>
  </si>
  <si>
    <t>John Rodman</t>
  </si>
  <si>
    <t>789 25th Street</t>
  </si>
  <si>
    <t>Company A</t>
  </si>
  <si>
    <t>Anna Bedecs</t>
  </si>
  <si>
    <t>123 1st Street</t>
  </si>
  <si>
    <t>Seattle</t>
  </si>
  <si>
    <t>WA</t>
  </si>
  <si>
    <t>Company K</t>
  </si>
  <si>
    <t>Peter Krschne</t>
  </si>
  <si>
    <t>123 11th Street</t>
  </si>
  <si>
    <t>Canned Fruit &amp; Vegetables</t>
  </si>
  <si>
    <t>Fruit Cocktail</t>
  </si>
  <si>
    <t>Date</t>
  </si>
  <si>
    <t>GL Account</t>
  </si>
  <si>
    <t>Credit Sales</t>
  </si>
  <si>
    <t>Grand Total</t>
  </si>
  <si>
    <t>Amount</t>
  </si>
  <si>
    <t>Actual</t>
  </si>
  <si>
    <t>GL Date</t>
  </si>
  <si>
    <t xml:space="preserve"> Amount</t>
  </si>
  <si>
    <t>12-Month Cash Flow Summary</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</si>
</sst>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5">
    <numFmt numFmtId="6" formatCode="&quot;$&quot;#,##0_);[Red]\(&quot;$&quot;#,##0\)"/>
    <numFmt numFmtId="8" formatCode="&quot;$&quot;#,##0.00_);[Red]\(&quot;$&quot;#,##0.00\)"/>
    <numFmt numFmtId="164" formatCode="0.0%"/>
    <numFmt numFmtId="165" formatCode="mm/dd/yy;@"/>
    <numFmt numFmtId="166" formatCode="mmmm"/>
  </numFmts>
  <fonts count="8" x14ac:knownFonts="1">
    <font>
      <sz val="11"/>
      <color theme="1"/>
      <name val="Calibri"/>
      <family val="2"/>
      <scheme val="minor"/>
    </font>
    <font>
      <sz val="18"/>
      <color theme="3"/>
      <name val="Calibri Light"/>
      <family val="2"/>
      <scheme val="major"/>
    </font>
    <font>
      <b/>
      <sz val="11"/>
      <color theme="3"/>
      <name val="Calibri"/>
      <family val="2"/>
      <scheme val="minor"/>
    </font>
    <font>
      <sz val="11"/>
      <color rgb="FF3F3F76"/>
      <name val="Calibri"/>
      <family val="2"/>
      <scheme val="minor"/>
    </font>
    <font>
      <b/>
      <sz val="11"/>
      <color rgb="FFFA7D00"/>
      <name val="Calibri"/>
      <family val="2"/>
      <scheme val="minor"/>
    </font>
    <font>
      <b/>
      <sz val="11"/>
      <color theme="1"/>
      <name val="Calibri"/>
      <family val="2"/>
      <scheme val="minor"/>
    </font>
    <font>
      <sz val="11"/>
      <color theme="0"/>
      <name val="Calibri"/>
      <family val="2"/>
      <scheme val="minor"/>
    </font>
    <font>
      <b/>
      <i/>
      <sz val="11"/>
      <color theme="3"/>
      <name val="Calibri"/>
      <family val="2"/>
      <scheme val="minor"/>
    </font>
  </fonts>
  <fills count="5">
    <fill>
      <patternFill patternType="none"/>
    </fill>
    <fill>
      <patternFill patternType="gray125"/>
    </fill>
    <fill>
      <patternFill patternType="solid">
        <fgColor rgb="FFFFCC99"/>
      </patternFill>
    </fill>
    <fill>
      <patternFill patternType="solid">
        <fgColor rgb="FFF2F2F2"/>
      </patternFill>
    </fill>
    <fill>
      <patternFill patternType="solid">
        <fgColor theme="4"/>
      </patternFill>
    </fill>
  </fills>
  <borders count="4">
    <border>
      <left/>
      <right/>
      <top/>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right/>
      <top style="thin">
        <color theme="4"/>
      </top>
      <bottom style="double">
        <color theme="4"/>
      </bottom>
      <diagonal/>
    </border>
  </borders>
  <cellStyleXfs count="8">
    <xf numFmtId="0" fontId="0" fillId="0" borderId="0"/>
    <xf numFmtId="0" fontId="1" fillId="0" borderId="0" applyNumberFormat="0" applyFill="0" applyBorder="0" applyAlignment="0" applyProtection="0"/>
    <xf numFmtId="0" fontId="2" fillId="0" borderId="1" applyNumberFormat="0" applyFill="0" applyAlignment="0" applyProtection="0"/>
    <xf numFmtId="0" fontId="2" fillId="0" borderId="0" applyNumberFormat="0" applyFill="0" applyBorder="0" applyAlignment="0" applyProtection="0"/>
    <xf numFmtId="0" fontId="3" fillId="2" borderId="2" applyNumberFormat="0" applyAlignment="0" applyProtection="0"/>
    <xf numFmtId="0" fontId="4" fillId="3" borderId="2" applyNumberFormat="0" applyAlignment="0" applyProtection="0"/>
    <xf numFmtId="0" fontId="5" fillId="0" borderId="3" applyNumberFormat="0" applyFill="0" applyAlignment="0" applyProtection="0"/>
    <xf numFmtId="0" fontId="6" fillId="4" borderId="0" applyNumberFormat="0" applyBorder="0" applyAlignment="0" applyProtection="0"/>
  </cellStyleXfs>
  <cellXfs count="27">
    <xf numFmtId="0" fontId="0" fillId="0" borderId="0" xfId="0"/>
    <xf numFmtId="0" fontId="1" fillId="0" borderId="0" xfId="1"/>
    <xf numFmtId="0" fontId="2" fillId="0" borderId="1" xfId="2"/>
    <xf numFmtId="0" fontId="3" fillId="2" borderId="2" xfId="4"/>
    <xf numFmtId="6" fontId="4" fillId="3" borderId="2" xfId="5" applyNumberFormat="1"/>
    <xf numFmtId="0" fontId="4" fillId="3" borderId="2" xfId="5"/>
    <xf numFmtId="164" fontId="4" fillId="3" borderId="2" xfId="5" applyNumberFormat="1"/>
    <xf numFmtId="0" fontId="6" fillId="4" borderId="2" xfId="7" applyBorder="1" applyAlignment="1">
      <alignment horizontal="right"/>
    </xf>
    <xf numFmtId="6" fontId="4" fillId="3" borderId="2" xfId="5" applyNumberFormat="1" applyAlignment="1">
      <alignment horizontal="right"/>
    </xf>
    <xf numFmtId="9" fontId="4" fillId="3" borderId="2" xfId="5" applyNumberFormat="1"/>
    <xf numFmtId="0" fontId="7" fillId="0" borderId="0" xfId="3" applyFont="1"/>
    <xf numFmtId="0" fontId="7" fillId="0" borderId="0" xfId="3" applyFont="1" applyAlignment="1">
      <alignment horizontal="center"/>
    </xf>
    <xf numFmtId="0" fontId="5" fillId="0" borderId="3" xfId="6" applyAlignment="1">
      <alignment horizontal="left" indent="1"/>
    </xf>
    <xf numFmtId="6" fontId="5" fillId="3" borderId="3" xfId="6" applyNumberFormat="1" applyFill="1"/>
    <xf numFmtId="14" fontId="0" fillId="0" borderId="0" xfId="0" applyNumberFormat="1" applyAlignment="1">
      <alignment vertical="center"/>
    </xf>
    <xf numFmtId="14" fontId="0" fillId="0" borderId="0" xfId="0" applyNumberFormat="1"/>
    <xf numFmtId="0" fontId="0" fillId="0" borderId="0" xfId="0" pivotButton="1"/>
    <xf numFmtId="0" fontId="0" fillId="0" borderId="0" xfId="0" applyAlignment="1">
      <alignment vertical="center"/>
    </xf>
    <xf numFmtId="8" fontId="0" fillId="0" borderId="0" xfId="0" applyNumberFormat="1"/>
    <xf numFmtId="6" fontId="0" fillId="0" borderId="0" xfId="0" applyNumberFormat="1"/>
    <xf numFmtId="165" fontId="0" fillId="0" borderId="0" xfId="0" applyNumberFormat="1"/>
    <xf numFmtId="166" fontId="6" fillId="4" borderId="2" xfId="7" applyNumberFormat="1" applyBorder="1" applyAlignment="1">
      <alignment horizontal="right"/>
    </xf>
    <xf numFmtId="0" fontId="0" fillId="0" borderId="0" xfId="0" applyAlignment="1">
      <alignment horizontal="center"/>
    </xf>
    <xf numFmtId="0" fontId="2" fillId="0" borderId="1" xfId="2" applyAlignment="1">
      <alignment horizontal="center"/>
    </xf>
    <xf numFmtId="0" fontId="5" fillId="0" borderId="3" xfId="6" applyAlignment="1">
      <alignment horizontal="center"/>
    </xf>
    <xf numFmtId="165" fontId="0" fillId="0" borderId="0" xfId="0" applyNumberFormat="1" applyAlignment="1">
      <alignment horizontal="center"/>
    </xf>
    <xf numFmtId="164" fontId="0" fillId="0" borderId="0" xfId="0" applyNumberFormat="1"/>
  </cellXfs>
  <cellStyles count="8">
    <cellStyle name="Accent1" xfId="7" builtinId="29"/>
    <cellStyle name="Calculation" xfId="5" builtinId="22"/>
    <cellStyle name="Heading 3" xfId="2" builtinId="18"/>
    <cellStyle name="Heading 4" xfId="3" builtinId="19"/>
    <cellStyle name="Input" xfId="4" builtinId="20"/>
    <cellStyle name="Normal" xfId="0" builtinId="0"/>
    <cellStyle name="Title" xfId="1" builtinId="15"/>
    <cellStyle name="Total" xfId="6" builtinId="25"/>
  </cellStyles>
  <dxfs count="18">
    <dxf>
      <numFmt numFmtId="12" formatCode="&quot;$&quot;#,##0.00_);[Red]\(&quot;$&quot;#,##0.00\)"/>
    </dxf>
    <dxf>
      <numFmt numFmtId="0" formatCode="General"/>
    </dxf>
    <dxf>
      <numFmt numFmtId="165" formatCode="mm/dd/yy;@"/>
      <alignment horizontal="center" vertical="bottom" textRotation="0" wrapText="0" indent="0" justifyLastLine="0" shrinkToFit="0" readingOrder="0"/>
    </dxf>
    <dxf>
      <numFmt numFmtId="10" formatCode="&quot;$&quot;#,##0_);[Red]\(&quot;$&quot;#,##0\)"/>
    </dxf>
    <dxf>
      <numFmt numFmtId="0" formatCode="General"/>
    </dxf>
    <dxf>
      <numFmt numFmtId="165" formatCode="mm/dd/yy;@"/>
      <alignment horizontal="center" vertical="bottom" textRotation="0" wrapText="0" indent="0" justifyLastLine="0" shrinkToFit="0" readingOrder="0"/>
    </dxf>
    <dxf>
      <numFmt numFmtId="10" formatCode="&quot;$&quot;#,##0_);[Red]\(&quot;$&quot;#,##0\)"/>
    </dxf>
    <dxf>
      <numFmt numFmtId="0" formatCode="General"/>
    </dxf>
    <dxf>
      <numFmt numFmtId="165" formatCode="mm/dd/yy;@"/>
      <alignment horizontal="center" vertical="bottom" textRotation="0" wrapText="0" indent="0" justifyLastLine="0" shrinkToFit="0" readingOrder="0"/>
    </dxf>
    <dxf>
      <numFmt numFmtId="0" formatCode="General"/>
    </dxf>
    <dxf>
      <numFmt numFmtId="12" formatCode="&quot;$&quot;#,##0.00_);[Red]\(&quot;$&quot;#,##0.00\)"/>
      <alignment horizontal="general" vertical="center" textRotation="0" wrapText="0" indent="0" justifyLastLine="0" shrinkToFit="0" readingOrder="0"/>
    </dxf>
    <dxf>
      <numFmt numFmtId="0" formatCode="General"/>
      <alignment horizontal="general" vertical="center" textRotation="0" wrapText="0" indent="0" justifyLastLine="0" shrinkToFit="0" readingOrder="0"/>
    </dxf>
    <dxf>
      <numFmt numFmtId="19" formatCode="m/d/yyyy"/>
      <alignment horizontal="general" vertical="center" textRotation="0" wrapText="0" indent="0" justifyLastLine="0" shrinkToFit="0" readingOrder="0"/>
    </dxf>
    <dxf>
      <numFmt numFmtId="19" formatCode="m/d/yyyy"/>
      <alignment horizontal="general" vertical="center" textRotation="0" wrapText="0" indent="0" justifyLastLine="0" shrinkToFit="0" readingOrder="0"/>
    </dxf>
    <dxf>
      <numFmt numFmtId="0" formatCode="General"/>
    </dxf>
    <dxf>
      <numFmt numFmtId="10" formatCode="&quot;$&quot;#,##0_);[Red]\(&quot;$&quot;#,##0\)"/>
    </dxf>
    <dxf>
      <numFmt numFmtId="0" formatCode="General"/>
    </dxf>
    <dxf>
      <numFmt numFmtId="0" formatCode="Genera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theme" Target="theme/theme1.xml"/><Relationship Id="rId18" Type="http://schemas.openxmlformats.org/officeDocument/2006/relationships/powerPivotData" Target="model/item.data"/><Relationship Id="rId26" Type="http://schemas.openxmlformats.org/officeDocument/2006/relationships/customXml" Target="../customXml/item7.xml"/><Relationship Id="rId39" Type="http://schemas.microsoft.com/office/2006/relationships/vbaProject" Target="vbaProject.bin"/><Relationship Id="rId21" Type="http://schemas.openxmlformats.org/officeDocument/2006/relationships/customXml" Target="../customXml/item2.xml"/><Relationship Id="rId34" Type="http://schemas.openxmlformats.org/officeDocument/2006/relationships/customXml" Target="../customXml/item15.xml"/><Relationship Id="rId7" Type="http://schemas.openxmlformats.org/officeDocument/2006/relationships/worksheet" Target="worksheets/sheet7.xml"/><Relationship Id="rId12" Type="http://schemas.microsoft.com/office/2007/relationships/slicerCache" Target="slicerCaches/slicerCache2.xml"/><Relationship Id="rId17" Type="http://schemas.openxmlformats.org/officeDocument/2006/relationships/sheetMetadata" Target="metadata.xml"/><Relationship Id="rId25" Type="http://schemas.openxmlformats.org/officeDocument/2006/relationships/customXml" Target="../customXml/item6.xml"/><Relationship Id="rId33" Type="http://schemas.openxmlformats.org/officeDocument/2006/relationships/customXml" Target="../customXml/item14.xml"/><Relationship Id="rId38" Type="http://schemas.openxmlformats.org/officeDocument/2006/relationships/customXml" Target="../customXml/item19.xml"/><Relationship Id="rId2" Type="http://schemas.openxmlformats.org/officeDocument/2006/relationships/worksheet" Target="worksheets/sheet2.xml"/><Relationship Id="rId16" Type="http://schemas.openxmlformats.org/officeDocument/2006/relationships/sharedStrings" Target="sharedStrings.xml"/><Relationship Id="rId20" Type="http://schemas.openxmlformats.org/officeDocument/2006/relationships/customXml" Target="../customXml/item1.xml"/><Relationship Id="rId29" Type="http://schemas.openxmlformats.org/officeDocument/2006/relationships/customXml" Target="../customXml/item10.xml"/><Relationship Id="rId1" Type="http://schemas.openxmlformats.org/officeDocument/2006/relationships/worksheet" Target="worksheets/sheet1.xml"/><Relationship Id="rId6" Type="http://schemas.openxmlformats.org/officeDocument/2006/relationships/worksheet" Target="worksheets/sheet6.xml"/><Relationship Id="rId11" Type="http://schemas.microsoft.com/office/2007/relationships/slicerCache" Target="slicerCaches/slicerCache1.xml"/><Relationship Id="rId24" Type="http://schemas.openxmlformats.org/officeDocument/2006/relationships/customXml" Target="../customXml/item5.xml"/><Relationship Id="rId32" Type="http://schemas.openxmlformats.org/officeDocument/2006/relationships/customXml" Target="../customXml/item13.xml"/><Relationship Id="rId37" Type="http://schemas.openxmlformats.org/officeDocument/2006/relationships/customXml" Target="../customXml/item18.xml"/><Relationship Id="rId5" Type="http://schemas.openxmlformats.org/officeDocument/2006/relationships/worksheet" Target="worksheets/sheet5.xml"/><Relationship Id="rId15" Type="http://schemas.openxmlformats.org/officeDocument/2006/relationships/styles" Target="styles.xml"/><Relationship Id="rId23" Type="http://schemas.openxmlformats.org/officeDocument/2006/relationships/customXml" Target="../customXml/item4.xml"/><Relationship Id="rId28" Type="http://schemas.openxmlformats.org/officeDocument/2006/relationships/customXml" Target="../customXml/item9.xml"/><Relationship Id="rId36" Type="http://schemas.openxmlformats.org/officeDocument/2006/relationships/customXml" Target="../customXml/item17.xml"/><Relationship Id="rId10" Type="http://schemas.openxmlformats.org/officeDocument/2006/relationships/pivotCacheDefinition" Target="pivotCache/pivotCacheDefinition1.xml"/><Relationship Id="rId19" Type="http://schemas.openxmlformats.org/officeDocument/2006/relationships/calcChain" Target="calcChain.xml"/><Relationship Id="rId31" Type="http://schemas.openxmlformats.org/officeDocument/2006/relationships/customXml" Target="../customXml/item12.xml"/><Relationship Id="rId4" Type="http://schemas.openxmlformats.org/officeDocument/2006/relationships/worksheet" Target="worksheets/sheet4.xml"/><Relationship Id="rId9" Type="http://schemas.openxmlformats.org/officeDocument/2006/relationships/externalLink" Target="externalLinks/externalLink1.xml"/><Relationship Id="rId14" Type="http://schemas.openxmlformats.org/officeDocument/2006/relationships/connections" Target="connections.xml"/><Relationship Id="rId22" Type="http://schemas.openxmlformats.org/officeDocument/2006/relationships/customXml" Target="../customXml/item3.xml"/><Relationship Id="rId27" Type="http://schemas.openxmlformats.org/officeDocument/2006/relationships/customXml" Target="../customXml/item8.xml"/><Relationship Id="rId30" Type="http://schemas.openxmlformats.org/officeDocument/2006/relationships/customXml" Target="../customXml/item11.xml"/><Relationship Id="rId35" Type="http://schemas.openxmlformats.org/officeDocument/2006/relationships/customXml" Target="../customXml/item16.xml"/><Relationship Id="rId8" Type="http://schemas.openxmlformats.org/officeDocument/2006/relationships/worksheet" Target="worksheets/sheet8.xml"/><Relationship Id="rId3" Type="http://schemas.openxmlformats.org/officeDocument/2006/relationships/worksheet" Target="worksheets/sheet3.xml"/></Relationships>
</file>

<file path=xl/drawings/drawing1.xml><?xml version="1.0" encoding="utf-8"?>
<xdr:wsDr xmlns:xdr="http://schemas.openxmlformats.org/drawingml/2006/spreadsheetDrawing" xmlns:a="http://schemas.openxmlformats.org/drawingml/2006/main">
  <xdr:twoCellAnchor editAs="oneCell">
    <xdr:from>
      <xdr:col>15</xdr:col>
      <xdr:colOff>128058</xdr:colOff>
      <xdr:row>2</xdr:row>
      <xdr:rowOff>2117</xdr:rowOff>
    </xdr:from>
    <xdr:to>
      <xdr:col>20</xdr:col>
      <xdr:colOff>74082</xdr:colOff>
      <xdr:row>17</xdr:row>
      <xdr:rowOff>10584</xdr:rowOff>
    </xdr:to>
    <mc:AlternateContent xmlns:mc="http://schemas.openxmlformats.org/markup-compatibility/2006" xmlns:a14="http://schemas.microsoft.com/office/drawing/2010/main">
      <mc:Choice Requires="a14">
        <xdr:graphicFrame macro="">
          <xdr:nvGraphicFramePr>
            <xdr:cNvPr id="2" name="GL Account">
              <a:extLst>
                <a:ext uri="{FF2B5EF4-FFF2-40B4-BE49-F238E27FC236}">
                  <a16:creationId xmlns:a16="http://schemas.microsoft.com/office/drawing/2014/main" id="{D09E5B20-93A5-4AFB-9642-954CAADBC256}"/>
                </a:ext>
              </a:extLst>
            </xdr:cNvPr>
            <xdr:cNvGraphicFramePr/>
          </xdr:nvGraphicFramePr>
          <xdr:xfrm>
            <a:off x="0" y="0"/>
            <a:ext cx="0" cy="0"/>
          </xdr:xfrm>
          <a:graphic>
            <a:graphicData uri="http://schemas.microsoft.com/office/drawing/2010/slicer">
              <sle:slicer xmlns:sle="http://schemas.microsoft.com/office/drawing/2010/slicer" name="GL Account"/>
            </a:graphicData>
          </a:graphic>
        </xdr:graphicFrame>
      </mc:Choice>
      <mc:Fallback xmlns="">
        <xdr:sp macro="" textlink="">
          <xdr:nvSpPr>
            <xdr:cNvPr id="0" name=""/>
            <xdr:cNvSpPr>
              <a:spLocks noTextEdit="1"/>
            </xdr:cNvSpPr>
          </xdr:nvSpPr>
          <xdr:spPr>
            <a:xfrm>
              <a:off x="15209308" y="488950"/>
              <a:ext cx="3015191" cy="2865967"/>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15</xdr:col>
      <xdr:colOff>138642</xdr:colOff>
      <xdr:row>17</xdr:row>
      <xdr:rowOff>76200</xdr:rowOff>
    </xdr:from>
    <xdr:to>
      <xdr:col>20</xdr:col>
      <xdr:colOff>74083</xdr:colOff>
      <xdr:row>45</xdr:row>
      <xdr:rowOff>127000</xdr:rowOff>
    </xdr:to>
    <mc:AlternateContent xmlns:mc="http://schemas.openxmlformats.org/markup-compatibility/2006" xmlns:a14="http://schemas.microsoft.com/office/drawing/2010/main">
      <mc:Choice Requires="a14">
        <xdr:graphicFrame macro="">
          <xdr:nvGraphicFramePr>
            <xdr:cNvPr id="3" name="Description">
              <a:extLst>
                <a:ext uri="{FF2B5EF4-FFF2-40B4-BE49-F238E27FC236}">
                  <a16:creationId xmlns:a16="http://schemas.microsoft.com/office/drawing/2014/main" id="{BABDFA71-2FB4-4E49-9CFC-4453EFA6F403}"/>
                </a:ext>
              </a:extLst>
            </xdr:cNvPr>
            <xdr:cNvGraphicFramePr/>
          </xdr:nvGraphicFramePr>
          <xdr:xfrm>
            <a:off x="0" y="0"/>
            <a:ext cx="0" cy="0"/>
          </xdr:xfrm>
          <a:graphic>
            <a:graphicData uri="http://schemas.microsoft.com/office/drawing/2010/slicer">
              <sle:slicer xmlns:sle="http://schemas.microsoft.com/office/drawing/2010/slicer" name="Description"/>
            </a:graphicData>
          </a:graphic>
        </xdr:graphicFrame>
      </mc:Choice>
      <mc:Fallback xmlns="">
        <xdr:sp macro="" textlink="">
          <xdr:nvSpPr>
            <xdr:cNvPr id="0" name=""/>
            <xdr:cNvSpPr>
              <a:spLocks noTextEdit="1"/>
            </xdr:cNvSpPr>
          </xdr:nvSpPr>
          <xdr:spPr>
            <a:xfrm>
              <a:off x="15219892" y="3420533"/>
              <a:ext cx="3004608" cy="538480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file:///C:\Users\chrsm\OneDrive%20-%20Microsoft\Templates\Other\Customer%20Lifetime%20Value\Customer%20lifecycle%20value%20(CLV)%20calculator.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12-Month Cash Flow Budget"/>
      <sheetName val="Customer Lifecycle Value"/>
      <sheetName val="CLV Stages"/>
      <sheetName val="Customer retention rate"/>
      <sheetName val="SIC Code list"/>
      <sheetName val="Validation Lists"/>
      <sheetName val="Customer lifecycle value (CLV) "/>
    </sheetNames>
    <sheetDataSet>
      <sheetData sheetId="0"/>
      <sheetData sheetId="1"/>
      <sheetData sheetId="2"/>
      <sheetData sheetId="3"/>
      <sheetData sheetId="4"/>
      <sheetData sheetId="5">
        <row r="2">
          <cell r="D2" t="str">
            <v>Agricultural Production - Crops</v>
          </cell>
          <cell r="E2" t="str">
            <v>Building Construction General Contractors and Operative Builders</v>
          </cell>
          <cell r="F2" t="str">
            <v>Depository Institutions</v>
          </cell>
          <cell r="G2" t="str">
            <v>Food and Kindred Products</v>
          </cell>
          <cell r="H2" t="str">
            <v>Metal Mining</v>
          </cell>
          <cell r="I2" t="str">
            <v>Executive, Legislative, and General Government, except Finance</v>
          </cell>
          <cell r="J2" t="str">
            <v>Building Materials, Hardware, Garden Supply, and Mobile HomeDealers</v>
          </cell>
          <cell r="K2" t="str">
            <v>Hotels, Rooming Houses, Camps, and other Lodging Places</v>
          </cell>
          <cell r="L2" t="str">
            <v>Railroad Transportation</v>
          </cell>
          <cell r="M2" t="str">
            <v>Wholesale Trade-Durable Goods</v>
          </cell>
        </row>
      </sheetData>
      <sheetData sheetId="6" refreshError="1"/>
    </sheetDataSet>
  </externalBook>
</externalLink>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Chris &quot;Smitty&quot; Smith" refreshedDate="43434.489380902778" createdVersion="6" refreshedVersion="6" minRefreshableVersion="3" recordCount="954" xr:uid="{9E116DBD-E746-4744-8E63-EFFED2291BE6}">
  <cacheSource type="worksheet">
    <worksheetSource name="tbl_Consolidated"/>
  </cacheSource>
  <cacheFields count="4">
    <cacheField name="GL Date" numFmtId="165">
      <sharedItems containsSemiMixedTypes="0" containsNonDate="0" containsDate="1" containsString="0" minDate="2018-01-01T00:00:00" maxDate="2018-12-02T00:00:00" count="12">
        <d v="2018-01-01T00:00:00"/>
        <d v="2018-02-01T00:00:00"/>
        <d v="2018-03-01T00:00:00"/>
        <d v="2018-04-01T00:00:00"/>
        <d v="2018-05-01T00:00:00"/>
        <d v="2018-06-01T00:00:00"/>
        <d v="2018-07-01T00:00:00"/>
        <d v="2018-08-01T00:00:00"/>
        <d v="2018-09-01T00:00:00"/>
        <d v="2018-10-01T00:00:00"/>
        <d v="2018-11-01T00:00:00"/>
        <d v="2018-12-01T00:00:00"/>
      </sharedItems>
    </cacheField>
    <cacheField name="GL Account" numFmtId="0">
      <sharedItems containsSemiMixedTypes="0" containsString="0" containsNumber="1" containsInteger="1" minValue="1001" maxValue="6006" count="45">
        <n v="2001"/>
        <n v="2002"/>
        <n v="2003"/>
        <n v="2004"/>
        <n v="2005"/>
        <n v="2006"/>
        <n v="2007"/>
        <n v="2008"/>
        <n v="2009"/>
        <n v="2010"/>
        <n v="2011"/>
        <n v="2012"/>
        <n v="2013"/>
        <n v="2014"/>
        <n v="2015"/>
        <n v="2016"/>
        <n v="2017"/>
        <n v="3001"/>
        <n v="3002"/>
        <n v="3003"/>
        <n v="3004"/>
        <n v="3005"/>
        <n v="3006"/>
        <n v="3007"/>
        <n v="3008"/>
        <n v="3009"/>
        <n v="4001"/>
        <n v="4002"/>
        <n v="4003"/>
        <n v="5001"/>
        <n v="5002"/>
        <n v="5003"/>
        <n v="5004"/>
        <n v="5005"/>
        <n v="5006"/>
        <n v="5007"/>
        <n v="5008"/>
        <n v="5009"/>
        <n v="6002"/>
        <n v="6003"/>
        <n v="6004"/>
        <n v="6005"/>
        <n v="6006"/>
        <n v="1001"/>
        <n v="1002"/>
      </sharedItems>
    </cacheField>
    <cacheField name="Description" numFmtId="0">
      <sharedItems count="46">
        <s v="Office/Plant Rent or Lease"/>
        <s v="Equipment Rent or Lease"/>
        <s v="Vehicle Rent or Lease"/>
        <s v="Repairs and Maintenance"/>
        <s v="Taxes, Licenses and Feeds"/>
        <s v="General Travel and Entertainment"/>
        <s v="Utilities"/>
        <s v="Phone"/>
        <s v="Internet"/>
        <s v="Office Supplies"/>
        <s v="Legal, Accounting and Professional"/>
        <s v="Building or Facility Improvements"/>
        <s v="Insurance (building, property, liability, vehicle)"/>
        <s v="Mortgage Payment"/>
        <s v="Loan Payments"/>
        <s v="Other Interest Expenses"/>
        <s v="Other General Expenses"/>
        <s v="Print Advertising"/>
        <s v="Direct Mail"/>
        <s v="Inernet (Search Engine Marketing (SEM))"/>
        <s v="Inernet (Search Engine Optimization (SEO))"/>
        <s v="Website"/>
        <s v="Displays"/>
        <s v="Fairs, Festivals, and Trade Shows"/>
        <s v="SMA Travel and Entertainment"/>
        <s v="Other SMA Expense"/>
        <s v="Materials and Supplies"/>
        <s v="Purchases for Resale"/>
        <s v="Other Operations Expenses"/>
        <s v="Salary"/>
        <s v="Contract Labor"/>
        <s v="Commissions"/>
        <s v="Bonus"/>
        <s v="Payroll Taxes"/>
        <s v="Employee Benefits"/>
        <s v="Health Insurance"/>
        <s v="Owner's Draw"/>
        <s v="Other Labor/Payroll Expense"/>
        <s v="Other Expense 1"/>
        <s v="Other Expense 2"/>
        <s v="Other Expense 3"/>
        <s v="Other Expense 4"/>
        <s v="Other Expense 5"/>
        <s v="Check"/>
        <s v="Credit"/>
        <s v="Cash"/>
      </sharedItems>
    </cacheField>
    <cacheField name="Amount" numFmtId="6">
      <sharedItems containsSemiMixedTypes="0" containsString="0" containsNumber="1" minValue="-99375" maxValue="46679.875"/>
    </cacheField>
  </cacheFields>
  <extLst>
    <ext xmlns:x14="http://schemas.microsoft.com/office/spreadsheetml/2009/9/main" uri="{725AE2AE-9491-48be-B2B4-4EB974FC3084}">
      <x14:pivotCacheDefinition pivotCacheId="65677457"/>
    </ext>
  </extLst>
</pivotCacheDefinition>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C8747485-8ED8-4146-B83A-33F1D99C2A99}" name="PivotTable7" cacheId="2" applyNumberFormats="0" applyBorderFormats="0" applyFontFormats="0" applyPatternFormats="0" applyAlignmentFormats="0" applyWidthHeightFormats="1" dataCaption="Values" updatedVersion="6" minRefreshableVersion="3" showDrill="0" itemPrintTitles="1" createdVersion="6" indent="0" compact="0" compactData="0" multipleFieldFilters="0">
  <location ref="A3:O51" firstHeaderRow="1" firstDataRow="2" firstDataCol="2"/>
  <pivotFields count="4">
    <pivotField axis="axisCol" compact="0" numFmtId="165" outline="0" subtotalTop="0" showAll="0">
      <items count="13">
        <item x="0"/>
        <item x="1"/>
        <item x="2"/>
        <item x="3"/>
        <item x="4"/>
        <item x="5"/>
        <item x="6"/>
        <item x="7"/>
        <item x="8"/>
        <item x="9"/>
        <item x="10"/>
        <item x="11"/>
        <item t="default"/>
      </items>
      <extLst>
        <ext xmlns:x14="http://schemas.microsoft.com/office/spreadsheetml/2009/9/main" uri="{2946ED86-A175-432a-8AC1-64E0C546D7DE}">
          <x14:pivotField fillDownLabels="1"/>
        </ext>
      </extLst>
    </pivotField>
    <pivotField axis="axisRow" compact="0" outline="0" subtotalTop="0" showAll="0" defaultSubtotal="0">
      <items count="45">
        <item x="43"/>
        <item x="44"/>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s>
      <extLst>
        <ext xmlns:x14="http://schemas.microsoft.com/office/spreadsheetml/2009/9/main" uri="{2946ED86-A175-432a-8AC1-64E0C546D7DE}">
          <x14:pivotField fillDownLabels="1"/>
        </ext>
      </extLst>
    </pivotField>
    <pivotField axis="axisRow" compact="0" outline="0" subtotalTop="0" showAll="0">
      <items count="47">
        <item x="32"/>
        <item x="11"/>
        <item x="45"/>
        <item x="43"/>
        <item x="31"/>
        <item x="30"/>
        <item x="44"/>
        <item x="18"/>
        <item x="22"/>
        <item x="34"/>
        <item x="1"/>
        <item x="23"/>
        <item x="5"/>
        <item x="35"/>
        <item x="19"/>
        <item x="20"/>
        <item x="12"/>
        <item x="8"/>
        <item x="10"/>
        <item x="14"/>
        <item x="26"/>
        <item x="13"/>
        <item x="9"/>
        <item x="0"/>
        <item x="38"/>
        <item x="39"/>
        <item x="40"/>
        <item x="41"/>
        <item x="42"/>
        <item x="16"/>
        <item x="15"/>
        <item x="37"/>
        <item x="28"/>
        <item x="25"/>
        <item x="36"/>
        <item x="33"/>
        <item x="7"/>
        <item x="17"/>
        <item x="27"/>
        <item x="3"/>
        <item x="29"/>
        <item x="24"/>
        <item x="4"/>
        <item x="6"/>
        <item x="2"/>
        <item x="21"/>
        <item t="default"/>
      </items>
      <extLst>
        <ext xmlns:x14="http://schemas.microsoft.com/office/spreadsheetml/2009/9/main" uri="{2946ED86-A175-432a-8AC1-64E0C546D7DE}">
          <x14:pivotField fillDownLabels="1"/>
        </ext>
      </extLst>
    </pivotField>
    <pivotField dataField="1" compact="0" numFmtId="6" outline="0" subtotalTop="0" showAll="0">
      <extLst>
        <ext xmlns:x14="http://schemas.microsoft.com/office/spreadsheetml/2009/9/main" uri="{2946ED86-A175-432a-8AC1-64E0C546D7DE}">
          <x14:pivotField fillDownLabels="1"/>
        </ext>
      </extLst>
    </pivotField>
  </pivotFields>
  <rowFields count="2">
    <field x="1"/>
    <field x="2"/>
  </rowFields>
  <rowItems count="47">
    <i>
      <x/>
      <x v="2"/>
    </i>
    <i r="1">
      <x v="3"/>
    </i>
    <i>
      <x v="1"/>
      <x v="6"/>
    </i>
    <i>
      <x v="2"/>
      <x v="23"/>
    </i>
    <i>
      <x v="3"/>
      <x v="10"/>
    </i>
    <i>
      <x v="4"/>
      <x v="44"/>
    </i>
    <i>
      <x v="5"/>
      <x v="39"/>
    </i>
    <i>
      <x v="6"/>
      <x v="42"/>
    </i>
    <i>
      <x v="7"/>
      <x v="12"/>
    </i>
    <i>
      <x v="8"/>
      <x v="43"/>
    </i>
    <i>
      <x v="9"/>
      <x v="36"/>
    </i>
    <i>
      <x v="10"/>
      <x v="17"/>
    </i>
    <i>
      <x v="11"/>
      <x v="22"/>
    </i>
    <i>
      <x v="12"/>
      <x v="18"/>
    </i>
    <i>
      <x v="13"/>
      <x v="1"/>
    </i>
    <i>
      <x v="14"/>
      <x v="16"/>
    </i>
    <i>
      <x v="15"/>
      <x v="21"/>
    </i>
    <i>
      <x v="16"/>
      <x v="19"/>
    </i>
    <i>
      <x v="17"/>
      <x v="30"/>
    </i>
    <i>
      <x v="18"/>
      <x v="29"/>
    </i>
    <i>
      <x v="19"/>
      <x v="37"/>
    </i>
    <i>
      <x v="20"/>
      <x v="7"/>
    </i>
    <i>
      <x v="21"/>
      <x v="14"/>
    </i>
    <i>
      <x v="22"/>
      <x v="15"/>
    </i>
    <i>
      <x v="23"/>
      <x v="45"/>
    </i>
    <i>
      <x v="24"/>
      <x v="8"/>
    </i>
    <i>
      <x v="25"/>
      <x v="11"/>
    </i>
    <i>
      <x v="26"/>
      <x v="41"/>
    </i>
    <i>
      <x v="27"/>
      <x v="33"/>
    </i>
    <i>
      <x v="28"/>
      <x v="20"/>
    </i>
    <i>
      <x v="29"/>
      <x v="38"/>
    </i>
    <i>
      <x v="30"/>
      <x v="32"/>
    </i>
    <i>
      <x v="31"/>
      <x v="40"/>
    </i>
    <i>
      <x v="32"/>
      <x v="5"/>
    </i>
    <i>
      <x v="33"/>
      <x v="4"/>
    </i>
    <i>
      <x v="34"/>
      <x/>
    </i>
    <i>
      <x v="35"/>
      <x v="35"/>
    </i>
    <i>
      <x v="36"/>
      <x v="9"/>
    </i>
    <i>
      <x v="37"/>
      <x v="13"/>
    </i>
    <i>
      <x v="38"/>
      <x v="34"/>
    </i>
    <i>
      <x v="39"/>
      <x v="31"/>
    </i>
    <i>
      <x v="40"/>
      <x v="24"/>
    </i>
    <i>
      <x v="41"/>
      <x v="25"/>
    </i>
    <i>
      <x v="42"/>
      <x v="26"/>
    </i>
    <i>
      <x v="43"/>
      <x v="27"/>
    </i>
    <i>
      <x v="44"/>
      <x v="28"/>
    </i>
    <i t="grand">
      <x/>
    </i>
  </rowItems>
  <colFields count="1">
    <field x="0"/>
  </colFields>
  <colItems count="13">
    <i>
      <x/>
    </i>
    <i>
      <x v="1"/>
    </i>
    <i>
      <x v="2"/>
    </i>
    <i>
      <x v="3"/>
    </i>
    <i>
      <x v="4"/>
    </i>
    <i>
      <x v="5"/>
    </i>
    <i>
      <x v="6"/>
    </i>
    <i>
      <x v="7"/>
    </i>
    <i>
      <x v="8"/>
    </i>
    <i>
      <x v="9"/>
    </i>
    <i>
      <x v="10"/>
    </i>
    <i>
      <x v="11"/>
    </i>
    <i t="grand">
      <x/>
    </i>
  </colItems>
  <dataFields count="1">
    <dataField name=" Amount" fld="3" baseField="2" baseItem="2" numFmtId="6"/>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fillDownLabelsDefault="1" hideValuesRow="1"/>
    </ext>
    <ext xmlns:xpdl="http://schemas.microsoft.com/office/spreadsheetml/2016/pivotdefaultlayout" uri="{747A6164-185A-40DC-8AA5-F01512510D54}">
      <xpdl:pivotTableDefinition16 SubtotalsOnTopDefault="0"/>
    </ext>
  </extLst>
</pivotTableDefinition>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2" connectionId="1" xr16:uid="{F19D5C02-292C-463C-A744-2AD62C690449}" autoFormatId="16" applyNumberFormats="0" applyBorderFormats="0" applyFontFormats="0" applyPatternFormats="0" applyAlignmentFormats="0" applyWidthHeightFormats="0">
  <queryTableRefresh nextId="5">
    <queryTableFields count="4">
      <queryTableField id="1" name="GL Date" tableColumnId="1"/>
      <queryTableField id="2" name="GL Account" tableColumnId="2"/>
      <queryTableField id="3" name="Description" tableColumnId="3"/>
      <queryTableField id="4" name="Amount" tableColumnId="4"/>
    </queryTableFields>
  </queryTableRefresh>
</queryTable>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ExternalData_1" connectionId="2" xr16:uid="{9AE8F038-0CED-4D2F-9C78-360AC6AA9DA0}" autoFormatId="16" applyNumberFormats="0" applyBorderFormats="0" applyFontFormats="0" applyPatternFormats="0" applyAlignmentFormats="0" applyWidthHeightFormats="0">
  <queryTableRefresh nextId="5">
    <queryTableFields count="4">
      <queryTableField id="1" name="GL Date" tableColumnId="1"/>
      <queryTableField id="2" name="GL Account" tableColumnId="2"/>
      <queryTableField id="3" name="Description" tableColumnId="3"/>
      <queryTableField id="4" name="Amount" tableColumnId="4"/>
    </queryTableFields>
  </queryTableRefresh>
</queryTable>
</file>

<file path=xl/queryTables/queryTable3.xml><?xml version="1.0" encoding="utf-8"?>
<queryTable xmlns="http://schemas.openxmlformats.org/spreadsheetml/2006/main" xmlns:mc="http://schemas.openxmlformats.org/markup-compatibility/2006" xmlns:xr16="http://schemas.microsoft.com/office/spreadsheetml/2017/revision16" mc:Ignorable="xr16" name="ExternalData_1" connectionId="3" xr16:uid="{4A4B34AB-60AF-4771-92C9-DACC746C5948}" autoFormatId="16" applyNumberFormats="0" applyBorderFormats="0" applyFontFormats="0" applyPatternFormats="0" applyAlignmentFormats="0" applyWidthHeightFormats="0">
  <queryTableRefresh nextId="7">
    <queryTableFields count="4">
      <queryTableField id="1" name="GL Date" tableColumnId="1"/>
      <queryTableField id="2" name="GL Account" tableColumnId="2"/>
      <queryTableField id="3" name="Description" tableColumnId="3"/>
      <queryTableField id="4" name="Amount" tableColumnId="4"/>
    </queryTableFields>
  </queryTableRefresh>
</queryTable>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GL_Account" xr10:uid="{CA5CAB1D-3EC3-47B5-A6D0-F7535808FFC0}" sourceName="GL Account">
  <pivotTables>
    <pivotTable tabId="13" name="PivotTable7"/>
  </pivotTables>
  <data>
    <tabular pivotCacheId="65677457">
      <items count="45">
        <i x="43" s="1"/>
        <i x="44" s="1"/>
        <i x="0" s="1"/>
        <i x="1" s="1"/>
        <i x="2" s="1"/>
        <i x="3" s="1"/>
        <i x="4" s="1"/>
        <i x="5" s="1"/>
        <i x="6" s="1"/>
        <i x="7" s="1"/>
        <i x="8" s="1"/>
        <i x="9" s="1"/>
        <i x="10" s="1"/>
        <i x="11" s="1"/>
        <i x="12" s="1"/>
        <i x="13" s="1"/>
        <i x="14" s="1"/>
        <i x="15" s="1"/>
        <i x="16" s="1"/>
        <i x="17" s="1"/>
        <i x="18" s="1"/>
        <i x="19" s="1"/>
        <i x="20" s="1"/>
        <i x="21" s="1"/>
        <i x="22" s="1"/>
        <i x="23" s="1"/>
        <i x="24" s="1"/>
        <i x="25" s="1"/>
        <i x="26" s="1"/>
        <i x="27" s="1"/>
        <i x="28" s="1"/>
        <i x="29" s="1"/>
        <i x="30" s="1"/>
        <i x="31" s="1"/>
        <i x="32" s="1"/>
        <i x="33" s="1"/>
        <i x="34" s="1"/>
        <i x="35" s="1"/>
        <i x="36" s="1"/>
        <i x="37" s="1"/>
        <i x="38" s="1"/>
        <i x="39" s="1"/>
        <i x="40" s="1"/>
        <i x="41" s="1"/>
        <i x="42" s="1"/>
      </items>
    </tabular>
  </data>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Description" xr10:uid="{AE6ECD68-BE30-4BBF-939B-5915BF3491C6}" sourceName="Description">
  <pivotTables>
    <pivotTable tabId="13" name="PivotTable7"/>
  </pivotTables>
  <data>
    <tabular pivotCacheId="65677457">
      <items count="46">
        <i x="32" s="1"/>
        <i x="11" s="1"/>
        <i x="45" s="1"/>
        <i x="43" s="1"/>
        <i x="31" s="1"/>
        <i x="30" s="1"/>
        <i x="44" s="1"/>
        <i x="18" s="1"/>
        <i x="22" s="1"/>
        <i x="34" s="1"/>
        <i x="1" s="1"/>
        <i x="23" s="1"/>
        <i x="5" s="1"/>
        <i x="35" s="1"/>
        <i x="19" s="1"/>
        <i x="20" s="1"/>
        <i x="12" s="1"/>
        <i x="8" s="1"/>
        <i x="10" s="1"/>
        <i x="14" s="1"/>
        <i x="26" s="1"/>
        <i x="13" s="1"/>
        <i x="9" s="1"/>
        <i x="0" s="1"/>
        <i x="38" s="1"/>
        <i x="39" s="1"/>
        <i x="40" s="1"/>
        <i x="41" s="1"/>
        <i x="42" s="1"/>
        <i x="16" s="1"/>
        <i x="15" s="1"/>
        <i x="37" s="1"/>
        <i x="28" s="1"/>
        <i x="25" s="1"/>
        <i x="36" s="1"/>
        <i x="33" s="1"/>
        <i x="7" s="1"/>
        <i x="17" s="1"/>
        <i x="27" s="1"/>
        <i x="3" s="1"/>
        <i x="29" s="1"/>
        <i x="24" s="1"/>
        <i x="4" s="1"/>
        <i x="6" s="1"/>
        <i x="2" s="1"/>
        <i x="21" s="1"/>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GL Account" xr10:uid="{A230FA3F-187A-4774-ABC7-3A2C4C4DD8B6}" cache="Slicer_GL_Account" caption="GL Account" columnCount="5" rowHeight="241300"/>
  <slicer name="Description" xr10:uid="{F551E8F2-AEF2-43D0-8A24-76E500B76680}" cache="Slicer_Description" caption="Description" columnCount="2" rowHeight="241300"/>
</slicers>
</file>

<file path=xl/tables/_rels/table4.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_rels/table5.xml.rels><?xml version="1.0" encoding="UTF-8" standalone="yes"?>
<Relationships xmlns="http://schemas.openxmlformats.org/package/2006/relationships"><Relationship Id="rId1" Type="http://schemas.openxmlformats.org/officeDocument/2006/relationships/queryTable" Target="../queryTables/queryTable2.xml"/></Relationships>
</file>

<file path=xl/tables/_rels/table6.xml.rels><?xml version="1.0" encoding="UTF-8" standalone="yes"?>
<Relationships xmlns="http://schemas.openxmlformats.org/package/2006/relationships"><Relationship Id="rId1" Type="http://schemas.openxmlformats.org/officeDocument/2006/relationships/queryTable" Target="../queryTables/queryTable3.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9155E4E5-0146-4261-9CB7-226BB9AB96DB}" name="tbl_GLExpense" displayName="tbl_GLExpense" ref="A1:D517" totalsRowShown="0">
  <autoFilter ref="A1:D517" xr:uid="{4EE8EE10-04C2-4131-931A-63717A92D326}"/>
  <sortState xmlns:xlrd2="http://schemas.microsoft.com/office/spreadsheetml/2017/richdata2" ref="A2:D517">
    <sortCondition ref="A2"/>
  </sortState>
  <tableColumns count="4">
    <tableColumn id="1" xr3:uid="{0ADB5A03-34C6-4D45-AC1B-5AEDD94F1028}" name="GL Date" dataDxfId="17"/>
    <tableColumn id="2" xr3:uid="{B490BE03-4FAF-4358-B6B8-A8A56C22BAC7}" name="GL Account"/>
    <tableColumn id="3" xr3:uid="{764CA797-06B6-481A-9860-024D3CADBCD9}" name="Description" dataDxfId="16"/>
    <tableColumn id="4" xr3:uid="{7B1E973F-F768-4477-8329-3FACA985D122}" name="Amount" dataDxfId="15"/>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B9145860-64C4-4BDE-874A-7239F7315B02}" name="tbl_GLSalesDetail" displayName="tbl_GLSalesDetail" ref="A1:O439" totalsRowShown="0">
  <autoFilter ref="A1:O439" xr:uid="{12E513F2-073A-4711-B0F7-A6EB45138BF6}"/>
  <sortState xmlns:xlrd2="http://schemas.microsoft.com/office/spreadsheetml/2017/richdata2" ref="A2:O439">
    <sortCondition ref="B2"/>
  </sortState>
  <tableColumns count="15">
    <tableColumn id="1" xr3:uid="{6F18587C-FE8A-4434-B417-2CF16EBCB923}" name="Order ID" dataDxfId="14">
      <calculatedColumnFormula>ROW()-1</calculatedColumnFormula>
    </tableColumn>
    <tableColumn id="2" xr3:uid="{60D949E4-0BF7-4F0B-AFAA-05A84E85A9FC}" name="Date" dataDxfId="13"/>
    <tableColumn id="15" xr3:uid="{CA0F5619-A1F7-4353-9B76-F069C2941D1B}" name="GL Date" dataDxfId="12">
      <calculatedColumnFormula>EOMONTH(tbl_GLSalesDetail[[#This Row],[Date]],-1)+1</calculatedColumnFormula>
    </tableColumn>
    <tableColumn id="14" xr3:uid="{E58EF6F7-9AA3-4CA4-84BB-4C42BB55A1BC}" name="GL Account" dataDxfId="11"/>
    <tableColumn id="3" xr3:uid="{A4D82904-B8BD-47BC-8DFB-A7C21DB50F44}" name="Sales Rep"/>
    <tableColumn id="4" xr3:uid="{452EFBBB-5115-4342-AA08-C36C48E3A5E0}" name="Region"/>
    <tableColumn id="5" xr3:uid="{B285D89E-6334-448A-BAB1-390F0DD6885D}" name="Customer Name"/>
    <tableColumn id="6" xr3:uid="{F75AB142-5526-4AB9-84FB-55725BDA2805}" name="Category"/>
    <tableColumn id="7" xr3:uid="{55A4BDC9-7F3D-4F49-91B7-0FE8B24D855D}" name="Product Name"/>
    <tableColumn id="8" xr3:uid="{008069F4-60DE-44D3-BECC-5E8B12954E79}" name="Sales" dataDxfId="10"/>
    <tableColumn id="9" xr3:uid="{89F1D1F5-B1E6-42A1-9A04-07BCFD869617}" name="Description"/>
    <tableColumn id="10" xr3:uid="{6F2FE221-0C58-42DF-83A3-AE226899A0F1}" name="Customer"/>
    <tableColumn id="11" xr3:uid="{2C985897-0293-4449-836C-6D4F6AAC70D3}" name="Address"/>
    <tableColumn id="12" xr3:uid="{F299B764-788B-4033-9275-B203467D9778}" name="City"/>
    <tableColumn id="13" xr3:uid="{998C34C7-32A5-41EA-B56B-655E93A6B83D}" name="State/Province"/>
  </tableColumns>
  <tableStyleInfo name="TableStyleMedium2"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C382B1D5-64E5-4892-94CD-168EBF0AE046}" name="tbl_ChartOfAccounts" displayName="tbl_ChartOfAccounts" ref="A1:E51" totalsRowShown="0">
  <autoFilter ref="A1:E51" xr:uid="{4F93FBDE-D896-4100-B0DE-5C180EBB3DAB}"/>
  <tableColumns count="5">
    <tableColumn id="1" xr3:uid="{5801E2F1-5948-4C87-AEBB-2544D706941F}" name="Primary GL Account Group"/>
    <tableColumn id="2" xr3:uid="{C9899A0B-274C-496B-9887-C7F02FA9BE49}" name="Secondary GL Account Group" dataDxfId="9"/>
    <tableColumn id="3" xr3:uid="{FC444498-5CA6-4719-AEC2-0DA4990F3A3C}" name="Category"/>
    <tableColumn id="4" xr3:uid="{C8051B53-A890-4D03-82FA-8D4B5F7F5637}" name="Sub-Category"/>
    <tableColumn id="5" xr3:uid="{7CFA2CD2-7870-47AA-89AD-DD9EC9282503}" name="Description"/>
  </tableColumns>
  <tableStyleInfo name="TableStyleMedium2"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51F63A3F-1B62-4A01-B32C-CD27A4F5EDC6}" name="tbl_Consolidated" displayName="tbl_Consolidated" ref="A1:D955" tableType="queryTable" totalsRowShown="0">
  <autoFilter ref="A1:D955" xr:uid="{0B2EDFA9-D26E-466E-BF3D-E08EEAEB197D}"/>
  <tableColumns count="4">
    <tableColumn id="1" xr3:uid="{35AAB7F5-7E15-4B1A-94CE-9BE6C0834D92}" uniqueName="1" name="GL Date" queryTableFieldId="1" dataDxfId="8"/>
    <tableColumn id="2" xr3:uid="{C044DC03-7541-4B80-8B87-DA8795063572}" uniqueName="2" name="GL Account" queryTableFieldId="2"/>
    <tableColumn id="3" xr3:uid="{18B6E26C-634F-47D5-A94B-03182E259717}" uniqueName="3" name="Description" queryTableFieldId="3" dataDxfId="7"/>
    <tableColumn id="4" xr3:uid="{6AB24DC4-D54D-428A-9633-685C0B7EBFDC}" uniqueName="4" name="Amount" queryTableFieldId="4" dataDxfId="6"/>
  </tableColumns>
  <tableStyleInfo name="TableStyleMedium7"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D516F203-0D9A-496C-832F-A29C1BE647A8}" name="tbl_GLExpense_2" displayName="tbl_GLExpense_2" ref="A1:D517" tableType="queryTable" totalsRowShown="0">
  <autoFilter ref="A1:D517" xr:uid="{120243EE-0C95-4D1A-96FD-F56663953B2C}"/>
  <tableColumns count="4">
    <tableColumn id="1" xr3:uid="{58EBDAAE-3172-436D-A41F-A672769940DB}" uniqueName="1" name="GL Date" queryTableFieldId="1" dataDxfId="5"/>
    <tableColumn id="2" xr3:uid="{65140781-1AB9-46E0-ADAB-D192A9126F34}" uniqueName="2" name="GL Account" queryTableFieldId="2"/>
    <tableColumn id="3" xr3:uid="{079DEF6A-625C-4999-B7AC-F09888B8776C}" uniqueName="3" name="Description" queryTableFieldId="3" dataDxfId="4"/>
    <tableColumn id="4" xr3:uid="{3766D9CB-4373-441B-9106-688E9AB599E4}" uniqueName="4" name="Amount" queryTableFieldId="4" dataDxfId="3"/>
  </tableColumns>
  <tableStyleInfo name="TableStyleMedium7"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241BBABB-92FA-4A12-8C19-CFDE674802DC}" name="tbl_GLSalesDetail_2" displayName="tbl_GLSalesDetail_2" ref="A1:D439" tableType="queryTable" totalsRowShown="0">
  <autoFilter ref="A1:D439" xr:uid="{376D0048-AD90-4717-B57D-BEDB415CE825}"/>
  <tableColumns count="4">
    <tableColumn id="1" xr3:uid="{B069A557-E93A-4270-9365-535A8DFD5112}" uniqueName="1" name="GL Date" queryTableFieldId="1" dataDxfId="2"/>
    <tableColumn id="2" xr3:uid="{2BCE2BC9-36F5-4975-85B3-4119BB3915C9}" uniqueName="2" name="GL Account" queryTableFieldId="2"/>
    <tableColumn id="3" xr3:uid="{4D069E10-8C6C-445D-897A-9D5C4A56C8BB}" uniqueName="3" name="Description" queryTableFieldId="3" dataDxfId="1"/>
    <tableColumn id="4" xr3:uid="{4AFD5AF4-36A6-4406-AD43-47D9A4EB6CEA}" uniqueName="4" name="Amount" queryTableFieldId="4" dataDxfId="0"/>
  </tableColumns>
  <tableStyleInfo name="TableStyleMedium7"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microsoft.com/office/2007/relationships/slicer" Target="../slicers/slicer1.xml"/><Relationship Id="rId2" Type="http://schemas.openxmlformats.org/officeDocument/2006/relationships/drawing" Target="../drawings/drawing1.xml"/><Relationship Id="rId1" Type="http://schemas.openxmlformats.org/officeDocument/2006/relationships/pivotTable" Target="../pivotTables/pivotTable1.xml"/></Relationships>
</file>

<file path=xl/worksheets/_rels/sheet3.xml.rels><?xml version="1.0" encoding="UTF-8" standalone="yes"?>
<Relationships xmlns="http://schemas.openxmlformats.org/package/2006/relationships"><Relationship Id="rId1" Type="http://schemas.openxmlformats.org/officeDocument/2006/relationships/table" Target="../tables/table1.xml"/></Relationships>
</file>

<file path=xl/worksheets/_rels/sheet4.xml.rels><?xml version="1.0" encoding="UTF-8" standalone="yes"?>
<Relationships xmlns="http://schemas.openxmlformats.org/package/2006/relationships"><Relationship Id="rId1" Type="http://schemas.openxmlformats.org/officeDocument/2006/relationships/table" Target="../tables/table2.xml"/></Relationships>
</file>

<file path=xl/worksheets/_rels/sheet5.xml.rels><?xml version="1.0" encoding="UTF-8" standalone="yes"?>
<Relationships xmlns="http://schemas.openxmlformats.org/package/2006/relationships"><Relationship Id="rId1" Type="http://schemas.openxmlformats.org/officeDocument/2006/relationships/table" Target="../tables/table3.xml"/></Relationships>
</file>

<file path=xl/worksheets/_rels/sheet6.xml.rels><?xml version="1.0" encoding="UTF-8" standalone="yes"?>
<Relationships xmlns="http://schemas.openxmlformats.org/package/2006/relationships"><Relationship Id="rId1" Type="http://schemas.openxmlformats.org/officeDocument/2006/relationships/table" Target="../tables/table4.xml"/></Relationships>
</file>

<file path=xl/worksheets/_rels/sheet7.xml.rels><?xml version="1.0" encoding="UTF-8" standalone="yes"?>
<Relationships xmlns="http://schemas.openxmlformats.org/package/2006/relationships"><Relationship Id="rId1" Type="http://schemas.openxmlformats.org/officeDocument/2006/relationships/table" Target="../tables/table5.xml"/></Relationships>
</file>

<file path=xl/worksheets/_rels/sheet8.xml.rels><?xml version="1.0" encoding="UTF-8" standalone="yes"?>
<Relationships xmlns="http://schemas.openxmlformats.org/package/2006/relationships"><Relationship Id="rId1" Type="http://schemas.openxmlformats.org/officeDocument/2006/relationships/table" Target="../tables/table6.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70AD355-7578-42DA-85FF-D91E4CCE7E0D}">
  <sheetPr codeName="Sheet1">
    <tabColor rgb="FFFFC000"/>
  </sheetPr>
  <dimension ref="B1:P87"/>
  <sheetViews>
    <sheetView showGridLines="0" tabSelected="1" zoomScale="90" zoomScaleNormal="90" workbookViewId="0"/>
  </sheetViews>
  <sheetFormatPr defaultRowHeight="14.25" x14ac:dyDescent="0.45"/>
  <cols>
    <col min="1" max="1" width="2.265625" customWidth="1"/>
    <col min="2" max="2" width="9.1328125" style="22" customWidth="1"/>
    <col min="3" max="3" width="43.73046875" bestFit="1" customWidth="1"/>
    <col min="4" max="16" width="13.265625" customWidth="1"/>
  </cols>
  <sheetData>
    <row r="1" spans="3:16" ht="23.25" x14ac:dyDescent="0.7">
      <c r="C1" s="1" t="s">
        <v>0</v>
      </c>
    </row>
    <row r="2" spans="3:16" x14ac:dyDescent="0.45">
      <c r="D2" s="20"/>
    </row>
    <row r="3" spans="3:16" ht="14.65" thickBot="1" x14ac:dyDescent="0.5">
      <c r="C3" s="2" t="s">
        <v>1</v>
      </c>
    </row>
    <row r="4" spans="3:16" x14ac:dyDescent="0.45">
      <c r="C4" t="s">
        <v>2</v>
      </c>
      <c r="D4" s="3">
        <v>5</v>
      </c>
      <c r="E4" s="3">
        <v>4</v>
      </c>
      <c r="F4" s="3">
        <v>4</v>
      </c>
      <c r="G4" s="3">
        <v>5</v>
      </c>
      <c r="H4" s="3">
        <v>4</v>
      </c>
      <c r="I4" s="3">
        <v>4</v>
      </c>
      <c r="J4" s="3">
        <v>5</v>
      </c>
      <c r="K4" s="3">
        <v>4</v>
      </c>
      <c r="L4" s="3">
        <v>4</v>
      </c>
      <c r="M4" s="3">
        <v>5</v>
      </c>
      <c r="N4" s="3">
        <v>4</v>
      </c>
      <c r="O4" s="3">
        <v>4</v>
      </c>
      <c r="P4" s="5">
        <f>SUM(D4:O4)</f>
        <v>52</v>
      </c>
    </row>
    <row r="5" spans="3:16" x14ac:dyDescent="0.45">
      <c r="C5" t="s">
        <v>3</v>
      </c>
      <c r="D5" s="26">
        <f>IF($P$26,D26/$P$26,0)</f>
        <v>8.2826470822848636E-2</v>
      </c>
      <c r="E5" s="26">
        <f t="shared" ref="E5:O5" si="0">IF($P$26,E26/$P$26,0)</f>
        <v>5.0682474129616607E-2</v>
      </c>
      <c r="F5" s="26">
        <f t="shared" si="0"/>
        <v>8.0712604877482816E-2</v>
      </c>
      <c r="G5" s="26">
        <f t="shared" si="0"/>
        <v>0.13106104830346851</v>
      </c>
      <c r="H5" s="26">
        <f t="shared" si="0"/>
        <v>6.8479466856177368E-2</v>
      </c>
      <c r="I5" s="26">
        <f t="shared" si="0"/>
        <v>8.3077107158137486E-2</v>
      </c>
      <c r="J5" s="26">
        <f t="shared" si="0"/>
        <v>8.4614464209312623E-2</v>
      </c>
      <c r="K5" s="26">
        <f t="shared" si="0"/>
        <v>5.6310234301916631E-2</v>
      </c>
      <c r="L5" s="26">
        <f t="shared" si="0"/>
        <v>8.4564155650149755E-2</v>
      </c>
      <c r="M5" s="26">
        <f t="shared" si="0"/>
        <v>0.13770767010638221</v>
      </c>
      <c r="N5" s="26">
        <f t="shared" si="0"/>
        <v>5.3012077680041202E-2</v>
      </c>
      <c r="O5" s="26">
        <f t="shared" si="0"/>
        <v>8.6952225904466315E-2</v>
      </c>
      <c r="P5" s="6">
        <f>SUM(D5:O5)</f>
        <v>1</v>
      </c>
    </row>
    <row r="6" spans="3:16" x14ac:dyDescent="0.45">
      <c r="C6" t="s">
        <v>4</v>
      </c>
      <c r="D6" s="21">
        <v>43101</v>
      </c>
      <c r="E6" s="21">
        <f>EOMONTH(D6,0)+1</f>
        <v>43132</v>
      </c>
      <c r="F6" s="21">
        <f t="shared" ref="F6:O6" si="1">EOMONTH(E6,0)+1</f>
        <v>43160</v>
      </c>
      <c r="G6" s="21">
        <f t="shared" si="1"/>
        <v>43191</v>
      </c>
      <c r="H6" s="21">
        <f t="shared" si="1"/>
        <v>43221</v>
      </c>
      <c r="I6" s="21">
        <f t="shared" si="1"/>
        <v>43252</v>
      </c>
      <c r="J6" s="21">
        <f t="shared" si="1"/>
        <v>43282</v>
      </c>
      <c r="K6" s="21">
        <f t="shared" si="1"/>
        <v>43313</v>
      </c>
      <c r="L6" s="21">
        <f t="shared" si="1"/>
        <v>43344</v>
      </c>
      <c r="M6" s="21">
        <f t="shared" si="1"/>
        <v>43374</v>
      </c>
      <c r="N6" s="21">
        <f t="shared" si="1"/>
        <v>43405</v>
      </c>
      <c r="O6" s="21">
        <f t="shared" si="1"/>
        <v>43435</v>
      </c>
      <c r="P6" s="7" t="s">
        <v>5</v>
      </c>
    </row>
    <row r="7" spans="3:16" x14ac:dyDescent="0.45">
      <c r="C7" t="s">
        <v>6</v>
      </c>
      <c r="D7" s="8">
        <f>D8/D4</f>
        <v>170868.44500000004</v>
      </c>
      <c r="E7" s="8">
        <f t="shared" ref="E7:O7" si="2">E8/E4</f>
        <v>130695.46875</v>
      </c>
      <c r="F7" s="8">
        <f t="shared" si="2"/>
        <v>208134.50625000003</v>
      </c>
      <c r="G7" s="8">
        <f t="shared" si="2"/>
        <v>270374.88500000007</v>
      </c>
      <c r="H7" s="8">
        <f t="shared" si="2"/>
        <v>176588.77500000002</v>
      </c>
      <c r="I7" s="8">
        <f t="shared" si="2"/>
        <v>214231.875</v>
      </c>
      <c r="J7" s="8">
        <f t="shared" si="2"/>
        <v>174557.02000000002</v>
      </c>
      <c r="K7" s="8">
        <f t="shared" si="2"/>
        <v>145207.83750000002</v>
      </c>
      <c r="L7" s="8">
        <f t="shared" si="2"/>
        <v>218066.54375000001</v>
      </c>
      <c r="M7" s="8">
        <f t="shared" si="2"/>
        <v>284086.65999999997</v>
      </c>
      <c r="N7" s="8">
        <f t="shared" si="2"/>
        <v>136702.84375000003</v>
      </c>
      <c r="O7" s="8">
        <f t="shared" si="2"/>
        <v>224224.6875</v>
      </c>
      <c r="P7" s="4">
        <f>AVERAGE(D7:O7)</f>
        <v>196144.96229166666</v>
      </c>
    </row>
    <row r="8" spans="3:16" x14ac:dyDescent="0.45">
      <c r="C8" t="s">
        <v>7</v>
      </c>
      <c r="D8" s="4">
        <f>D26</f>
        <v>854342.22500000021</v>
      </c>
      <c r="E8" s="4">
        <f t="shared" ref="E8:O8" si="3">E26</f>
        <v>522781.875</v>
      </c>
      <c r="F8" s="4">
        <f t="shared" si="3"/>
        <v>832538.02500000014</v>
      </c>
      <c r="G8" s="4">
        <f t="shared" si="3"/>
        <v>1351874.4250000003</v>
      </c>
      <c r="H8" s="4">
        <f t="shared" si="3"/>
        <v>706355.10000000009</v>
      </c>
      <c r="I8" s="4">
        <f t="shared" si="3"/>
        <v>856927.5</v>
      </c>
      <c r="J8" s="4">
        <f t="shared" si="3"/>
        <v>872785.10000000009</v>
      </c>
      <c r="K8" s="4">
        <f t="shared" si="3"/>
        <v>580831.35000000009</v>
      </c>
      <c r="L8" s="4">
        <f t="shared" si="3"/>
        <v>872266.17500000005</v>
      </c>
      <c r="M8" s="4">
        <f t="shared" si="3"/>
        <v>1420433.2999999998</v>
      </c>
      <c r="N8" s="4">
        <f t="shared" si="3"/>
        <v>546811.37500000012</v>
      </c>
      <c r="O8" s="4">
        <f t="shared" si="3"/>
        <v>896898.75</v>
      </c>
      <c r="P8" s="4">
        <f>SUM(D8:O8)</f>
        <v>10314845.199999999</v>
      </c>
    </row>
    <row r="10" spans="3:16" x14ac:dyDescent="0.45">
      <c r="C10" t="s">
        <v>8</v>
      </c>
      <c r="D10" s="4">
        <f>D11/D$4</f>
        <v>-69958.399999999994</v>
      </c>
      <c r="E10" s="4">
        <f t="shared" ref="E10:O10" si="4">E11/E$4</f>
        <v>-118872.75</v>
      </c>
      <c r="F10" s="4">
        <f t="shared" si="4"/>
        <v>-158049.75</v>
      </c>
      <c r="G10" s="4">
        <f t="shared" si="4"/>
        <v>-80108.2</v>
      </c>
      <c r="H10" s="4">
        <f t="shared" si="4"/>
        <v>-145492.5</v>
      </c>
      <c r="I10" s="4">
        <f t="shared" si="4"/>
        <v>-138279</v>
      </c>
      <c r="J10" s="4">
        <f t="shared" si="4"/>
        <v>-90766.2</v>
      </c>
      <c r="K10" s="4">
        <f t="shared" si="4"/>
        <v>-117602.75</v>
      </c>
      <c r="L10" s="4">
        <f t="shared" si="4"/>
        <v>-97888.25</v>
      </c>
      <c r="M10" s="4">
        <f t="shared" si="4"/>
        <v>-89727</v>
      </c>
      <c r="N10" s="4">
        <f t="shared" si="4"/>
        <v>-97342.5</v>
      </c>
      <c r="O10" s="4">
        <f t="shared" si="4"/>
        <v>-124104.25</v>
      </c>
      <c r="P10" s="4">
        <f>AVERAGE(D10:O10)</f>
        <v>-110682.62916666667</v>
      </c>
    </row>
    <row r="11" spans="3:16" x14ac:dyDescent="0.45">
      <c r="C11" t="s">
        <v>9</v>
      </c>
      <c r="D11" s="4">
        <f>D86*-1</f>
        <v>-349792</v>
      </c>
      <c r="E11" s="4">
        <f t="shared" ref="E11:O11" si="5">E86*-1</f>
        <v>-475491</v>
      </c>
      <c r="F11" s="4">
        <f t="shared" si="5"/>
        <v>-632199</v>
      </c>
      <c r="G11" s="4">
        <f t="shared" si="5"/>
        <v>-400541</v>
      </c>
      <c r="H11" s="4">
        <f t="shared" si="5"/>
        <v>-581970</v>
      </c>
      <c r="I11" s="4">
        <f t="shared" si="5"/>
        <v>-553116</v>
      </c>
      <c r="J11" s="4">
        <f t="shared" si="5"/>
        <v>-453831</v>
      </c>
      <c r="K11" s="4">
        <f t="shared" si="5"/>
        <v>-470411</v>
      </c>
      <c r="L11" s="4">
        <f t="shared" si="5"/>
        <v>-391553</v>
      </c>
      <c r="M11" s="4">
        <f t="shared" si="5"/>
        <v>-448635</v>
      </c>
      <c r="N11" s="4">
        <f t="shared" si="5"/>
        <v>-389370</v>
      </c>
      <c r="O11" s="4">
        <f t="shared" si="5"/>
        <v>-496417</v>
      </c>
      <c r="P11" s="4">
        <f>SUM(D11:O11)</f>
        <v>-5643326</v>
      </c>
    </row>
    <row r="13" spans="3:16" x14ac:dyDescent="0.45">
      <c r="C13" t="s">
        <v>10</v>
      </c>
      <c r="D13" s="4">
        <f>D14/D$4</f>
        <v>100910.04500000004</v>
      </c>
      <c r="E13" s="4">
        <f t="shared" ref="E13:O13" si="6">E14/E$4</f>
        <v>11822.71875</v>
      </c>
      <c r="F13" s="4">
        <f t="shared" si="6"/>
        <v>50084.756250000035</v>
      </c>
      <c r="G13" s="4">
        <f t="shared" si="6"/>
        <v>190266.68500000006</v>
      </c>
      <c r="H13" s="4">
        <f t="shared" si="6"/>
        <v>31096.275000000023</v>
      </c>
      <c r="I13" s="4">
        <f t="shared" si="6"/>
        <v>75952.875</v>
      </c>
      <c r="J13" s="4">
        <f t="shared" si="6"/>
        <v>83790.820000000022</v>
      </c>
      <c r="K13" s="4">
        <f t="shared" si="6"/>
        <v>27605.087500000023</v>
      </c>
      <c r="L13" s="4">
        <f t="shared" si="6"/>
        <v>120178.29375000001</v>
      </c>
      <c r="M13" s="4">
        <f t="shared" si="6"/>
        <v>194359.65999999997</v>
      </c>
      <c r="N13" s="4">
        <f t="shared" si="6"/>
        <v>39360.343750000029</v>
      </c>
      <c r="O13" s="4">
        <f t="shared" si="6"/>
        <v>100120.4375</v>
      </c>
      <c r="P13" s="4">
        <f>AVERAGE(D13:O13)</f>
        <v>85462.333125000005</v>
      </c>
    </row>
    <row r="14" spans="3:16" x14ac:dyDescent="0.45">
      <c r="C14" t="s">
        <v>11</v>
      </c>
      <c r="D14" s="4">
        <f>SUM(D11,D8)</f>
        <v>504550.22500000021</v>
      </c>
      <c r="E14" s="4">
        <f t="shared" ref="E14:O14" si="7">SUM(E11,E8)</f>
        <v>47290.875</v>
      </c>
      <c r="F14" s="4">
        <f t="shared" si="7"/>
        <v>200339.02500000014</v>
      </c>
      <c r="G14" s="4">
        <f t="shared" si="7"/>
        <v>951333.42500000028</v>
      </c>
      <c r="H14" s="4">
        <f t="shared" si="7"/>
        <v>124385.10000000009</v>
      </c>
      <c r="I14" s="4">
        <f t="shared" si="7"/>
        <v>303811.5</v>
      </c>
      <c r="J14" s="4">
        <f t="shared" si="7"/>
        <v>418954.10000000009</v>
      </c>
      <c r="K14" s="4">
        <f t="shared" si="7"/>
        <v>110420.35000000009</v>
      </c>
      <c r="L14" s="4">
        <f t="shared" si="7"/>
        <v>480713.17500000005</v>
      </c>
      <c r="M14" s="4">
        <f t="shared" si="7"/>
        <v>971798.29999999981</v>
      </c>
      <c r="N14" s="4">
        <f t="shared" si="7"/>
        <v>157441.37500000012</v>
      </c>
      <c r="O14" s="4">
        <f t="shared" si="7"/>
        <v>400481.75</v>
      </c>
      <c r="P14" s="4">
        <f>SUM(D14:O14)</f>
        <v>4671519.2000000011</v>
      </c>
    </row>
    <row r="16" spans="3:16" x14ac:dyDescent="0.45">
      <c r="C16" t="s">
        <v>12</v>
      </c>
      <c r="D16" s="9">
        <f>D14/D8</f>
        <v>0.59057156515938336</v>
      </c>
      <c r="E16" s="9">
        <f t="shared" ref="E16:O16" si="8">E14/E8</f>
        <v>9.0460050857731053E-2</v>
      </c>
      <c r="F16" s="9">
        <f t="shared" si="8"/>
        <v>0.24063648624337622</v>
      </c>
      <c r="G16" s="9">
        <f t="shared" si="8"/>
        <v>0.70371434462191274</v>
      </c>
      <c r="H16" s="9">
        <f t="shared" si="8"/>
        <v>0.17609429025146145</v>
      </c>
      <c r="I16" s="9">
        <f t="shared" si="8"/>
        <v>0.35453582712656556</v>
      </c>
      <c r="J16" s="9">
        <f t="shared" si="8"/>
        <v>0.48001976660692314</v>
      </c>
      <c r="K16" s="9">
        <f t="shared" si="8"/>
        <v>0.19010742102677494</v>
      </c>
      <c r="L16" s="9">
        <f t="shared" si="8"/>
        <v>0.55110835290615279</v>
      </c>
      <c r="M16" s="9">
        <f t="shared" si="8"/>
        <v>0.68415623598799036</v>
      </c>
      <c r="N16" s="9">
        <f t="shared" si="8"/>
        <v>0.28792629816817561</v>
      </c>
      <c r="O16" s="9">
        <f t="shared" si="8"/>
        <v>0.44651835003672374</v>
      </c>
      <c r="P16" s="9">
        <f>P14/P8</f>
        <v>0.45289280734915938</v>
      </c>
    </row>
    <row r="18" spans="2:16" x14ac:dyDescent="0.45">
      <c r="C18" s="10" t="s">
        <v>13</v>
      </c>
      <c r="D18" s="11" t="s">
        <v>212</v>
      </c>
      <c r="E18" s="11" t="s">
        <v>212</v>
      </c>
      <c r="F18" s="11" t="s">
        <v>212</v>
      </c>
      <c r="G18" s="11" t="s">
        <v>212</v>
      </c>
      <c r="H18" s="11" t="s">
        <v>212</v>
      </c>
      <c r="I18" s="11" t="s">
        <v>212</v>
      </c>
      <c r="J18" s="11" t="s">
        <v>212</v>
      </c>
      <c r="K18" s="11" t="s">
        <v>212</v>
      </c>
      <c r="L18" s="11" t="s">
        <v>212</v>
      </c>
      <c r="M18" s="11" t="s">
        <v>212</v>
      </c>
      <c r="N18" s="11" t="s">
        <v>212</v>
      </c>
      <c r="O18" s="11" t="s">
        <v>212</v>
      </c>
      <c r="P18" s="11"/>
    </row>
    <row r="19" spans="2:16" ht="14.65" thickBot="1" x14ac:dyDescent="0.5">
      <c r="B19" s="23" t="s">
        <v>81</v>
      </c>
      <c r="C19" s="2" t="s">
        <v>14</v>
      </c>
      <c r="D19" s="21">
        <f t="shared" ref="D19:P19" si="9">D6</f>
        <v>43101</v>
      </c>
      <c r="E19" s="21">
        <f t="shared" si="9"/>
        <v>43132</v>
      </c>
      <c r="F19" s="21">
        <f t="shared" si="9"/>
        <v>43160</v>
      </c>
      <c r="G19" s="21">
        <f t="shared" si="9"/>
        <v>43191</v>
      </c>
      <c r="H19" s="21">
        <f t="shared" si="9"/>
        <v>43221</v>
      </c>
      <c r="I19" s="21">
        <f t="shared" si="9"/>
        <v>43252</v>
      </c>
      <c r="J19" s="21">
        <f t="shared" si="9"/>
        <v>43282</v>
      </c>
      <c r="K19" s="21">
        <f t="shared" si="9"/>
        <v>43313</v>
      </c>
      <c r="L19" s="21">
        <f t="shared" si="9"/>
        <v>43344</v>
      </c>
      <c r="M19" s="21">
        <f t="shared" si="9"/>
        <v>43374</v>
      </c>
      <c r="N19" s="21">
        <f t="shared" si="9"/>
        <v>43405</v>
      </c>
      <c r="O19" s="21">
        <f t="shared" si="9"/>
        <v>43435</v>
      </c>
      <c r="P19" s="21" t="str">
        <f t="shared" si="9"/>
        <v>Total</v>
      </c>
    </row>
    <row r="20" spans="2:16" x14ac:dyDescent="0.45">
      <c r="B20" s="22">
        <v>1001</v>
      </c>
      <c r="C20" t="s">
        <v>15</v>
      </c>
      <c r="D20" s="4">
        <f>SUMIFS(tbl_GLSalesDetail[Sales],tbl_GLSalesDetail[GL Account],$B20,tbl_GLSalesDetail[GL Date],D$19)</f>
        <v>645883.97500000021</v>
      </c>
      <c r="E20" s="4">
        <f>SUMIFS(tbl_GLSalesDetail[Sales],tbl_GLSalesDetail[GL Account],$B20,tbl_GLSalesDetail[GL Date],E$19)</f>
        <v>393695.77500000002</v>
      </c>
      <c r="F20" s="4">
        <f>SUMIFS(tbl_GLSalesDetail[Sales],tbl_GLSalesDetail[GL Account],$B20,tbl_GLSalesDetail[GL Date],F$19)</f>
        <v>564786.75000000012</v>
      </c>
      <c r="G20" s="4">
        <f>SUMIFS(tbl_GLSalesDetail[Sales],tbl_GLSalesDetail[GL Account],$B20,tbl_GLSalesDetail[GL Date],G$19)</f>
        <v>741113.72500000033</v>
      </c>
      <c r="H20" s="4">
        <f>SUMIFS(tbl_GLSalesDetail[Sales],tbl_GLSalesDetail[GL Account],$B20,tbl_GLSalesDetail[GL Date],H$19)</f>
        <v>541336.95000000007</v>
      </c>
      <c r="I20" s="4">
        <f>SUMIFS(tbl_GLSalesDetail[Sales],tbl_GLSalesDetail[GL Account],$B20,tbl_GLSalesDetail[GL Date],I$19)</f>
        <v>551285.35</v>
      </c>
      <c r="J20" s="4">
        <f>SUMIFS(tbl_GLSalesDetail[Sales],tbl_GLSalesDetail[GL Account],$B20,tbl_GLSalesDetail[GL Date],J$19)</f>
        <v>430076.62500000006</v>
      </c>
      <c r="K20" s="4">
        <f>SUMIFS(tbl_GLSalesDetail[Sales],tbl_GLSalesDetail[GL Account],$B20,tbl_GLSalesDetail[GL Date],K$19)</f>
        <v>407977.9</v>
      </c>
      <c r="L20" s="4">
        <f>SUMIFS(tbl_GLSalesDetail[Sales],tbl_GLSalesDetail[GL Account],$B20,tbl_GLSalesDetail[GL Date],L$19)</f>
        <v>558858.85</v>
      </c>
      <c r="M20" s="4">
        <f>SUMIFS(tbl_GLSalesDetail[Sales],tbl_GLSalesDetail[GL Account],$B20,tbl_GLSalesDetail[GL Date],M$19)</f>
        <v>927739.72499999986</v>
      </c>
      <c r="N20" s="4">
        <f>SUMIFS(tbl_GLSalesDetail[Sales],tbl_GLSalesDetail[GL Account],$B20,tbl_GLSalesDetail[GL Date],N$19)</f>
        <v>466340.60000000009</v>
      </c>
      <c r="O20" s="4">
        <f>SUMIFS(tbl_GLSalesDetail[Sales],tbl_GLSalesDetail[GL Account],$B20,tbl_GLSalesDetail[GL Date],O$19)</f>
        <v>567236.44999999995</v>
      </c>
      <c r="P20" s="4">
        <f>SUM(D20:O20)</f>
        <v>6796332.6749999998</v>
      </c>
    </row>
    <row r="21" spans="2:16" x14ac:dyDescent="0.45">
      <c r="B21" s="22">
        <v>1002</v>
      </c>
      <c r="C21" t="s">
        <v>209</v>
      </c>
      <c r="D21" s="4">
        <f>SUMIFS(tbl_GLSalesDetail[Sales],tbl_GLSalesDetail[GL Account],$B21,tbl_GLSalesDetail[GL Date],D$19)</f>
        <v>208458.25000000003</v>
      </c>
      <c r="E21" s="4">
        <f>SUMIFS(tbl_GLSalesDetail[Sales],tbl_GLSalesDetail[GL Account],$B21,tbl_GLSalesDetail[GL Date],E$19)</f>
        <v>129086.1</v>
      </c>
      <c r="F21" s="4">
        <f>SUMIFS(tbl_GLSalesDetail[Sales],tbl_GLSalesDetail[GL Account],$B21,tbl_GLSalesDetail[GL Date],F$19)</f>
        <v>267751.27499999997</v>
      </c>
      <c r="G21" s="4">
        <f>SUMIFS(tbl_GLSalesDetail[Sales],tbl_GLSalesDetail[GL Account],$B21,tbl_GLSalesDetail[GL Date],G$19)</f>
        <v>610760.69999999995</v>
      </c>
      <c r="H21" s="4">
        <f>SUMIFS(tbl_GLSalesDetail[Sales],tbl_GLSalesDetail[GL Account],$B21,tbl_GLSalesDetail[GL Date],H$19)</f>
        <v>165018.15000000002</v>
      </c>
      <c r="I21" s="4">
        <f>SUMIFS(tbl_GLSalesDetail[Sales],tbl_GLSalesDetail[GL Account],$B21,tbl_GLSalesDetail[GL Date],I$19)</f>
        <v>305642.15000000002</v>
      </c>
      <c r="J21" s="4">
        <f>SUMIFS(tbl_GLSalesDetail[Sales],tbl_GLSalesDetail[GL Account],$B21,tbl_GLSalesDetail[GL Date],J$19)</f>
        <v>442708.47500000003</v>
      </c>
      <c r="K21" s="4">
        <f>SUMIFS(tbl_GLSalesDetail[Sales],tbl_GLSalesDetail[GL Account],$B21,tbl_GLSalesDetail[GL Date],K$19)</f>
        <v>172853.45</v>
      </c>
      <c r="L21" s="4">
        <f>SUMIFS(tbl_GLSalesDetail[Sales],tbl_GLSalesDetail[GL Account],$B21,tbl_GLSalesDetail[GL Date],L$19)</f>
        <v>313407.32500000001</v>
      </c>
      <c r="M21" s="4">
        <f>SUMIFS(tbl_GLSalesDetail[Sales],tbl_GLSalesDetail[GL Account],$B21,tbl_GLSalesDetail[GL Date],M$19)</f>
        <v>492693.57500000007</v>
      </c>
      <c r="N21" s="4">
        <f>SUMIFS(tbl_GLSalesDetail[Sales],tbl_GLSalesDetail[GL Account],$B21,tbl_GLSalesDetail[GL Date],N$19)</f>
        <v>80470.774999999994</v>
      </c>
      <c r="O21" s="4">
        <f>SUMIFS(tbl_GLSalesDetail[Sales],tbl_GLSalesDetail[GL Account],$B21,tbl_GLSalesDetail[GL Date],O$19)</f>
        <v>329662.3</v>
      </c>
      <c r="P21" s="4">
        <f t="shared" ref="P21:P25" si="10">SUM(D21:O21)</f>
        <v>3518512.5250000004</v>
      </c>
    </row>
    <row r="22" spans="2:16" x14ac:dyDescent="0.45">
      <c r="B22" s="22">
        <v>1003</v>
      </c>
      <c r="C22" t="s">
        <v>16</v>
      </c>
      <c r="D22" s="4">
        <f>SUMIFS(tbl_GLSalesDetail[Sales],tbl_GLSalesDetail[GL Account],$B22,tbl_GLSalesDetail[GL Date],D$19)</f>
        <v>0</v>
      </c>
      <c r="E22" s="4">
        <f>SUMIFS(tbl_GLSalesDetail[Sales],tbl_GLSalesDetail[GL Account],$B22,tbl_GLSalesDetail[GL Date],E$19)</f>
        <v>0</v>
      </c>
      <c r="F22" s="4">
        <f>SUMIFS(tbl_GLSalesDetail[Sales],tbl_GLSalesDetail[GL Account],$B22,tbl_GLSalesDetail[GL Date],F$19)</f>
        <v>0</v>
      </c>
      <c r="G22" s="4">
        <f>SUMIFS(tbl_GLSalesDetail[Sales],tbl_GLSalesDetail[GL Account],$B22,tbl_GLSalesDetail[GL Date],G$19)</f>
        <v>0</v>
      </c>
      <c r="H22" s="4">
        <f>SUMIFS(tbl_GLSalesDetail[Sales],tbl_GLSalesDetail[GL Account],$B22,tbl_GLSalesDetail[GL Date],H$19)</f>
        <v>0</v>
      </c>
      <c r="I22" s="4">
        <f>SUMIFS(tbl_GLSalesDetail[Sales],tbl_GLSalesDetail[GL Account],$B22,tbl_GLSalesDetail[GL Date],I$19)</f>
        <v>0</v>
      </c>
      <c r="J22" s="4">
        <f>SUMIFS(tbl_GLSalesDetail[Sales],tbl_GLSalesDetail[GL Account],$B22,tbl_GLSalesDetail[GL Date],J$19)</f>
        <v>0</v>
      </c>
      <c r="K22" s="4">
        <f>SUMIFS(tbl_GLSalesDetail[Sales],tbl_GLSalesDetail[GL Account],$B22,tbl_GLSalesDetail[GL Date],K$19)</f>
        <v>0</v>
      </c>
      <c r="L22" s="4">
        <f>SUMIFS(tbl_GLSalesDetail[Sales],tbl_GLSalesDetail[GL Account],$B22,tbl_GLSalesDetail[GL Date],L$19)</f>
        <v>0</v>
      </c>
      <c r="M22" s="4">
        <f>SUMIFS(tbl_GLSalesDetail[Sales],tbl_GLSalesDetail[GL Account],$B22,tbl_GLSalesDetail[GL Date],M$19)</f>
        <v>0</v>
      </c>
      <c r="N22" s="4">
        <f>SUMIFS(tbl_GLSalesDetail[Sales],tbl_GLSalesDetail[GL Account],$B22,tbl_GLSalesDetail[GL Date],N$19)</f>
        <v>0</v>
      </c>
      <c r="O22" s="4">
        <f>SUMIFS(tbl_GLSalesDetail[Sales],tbl_GLSalesDetail[GL Account],$B22,tbl_GLSalesDetail[GL Date],O$19)</f>
        <v>0</v>
      </c>
      <c r="P22" s="4">
        <f t="shared" si="10"/>
        <v>0</v>
      </c>
    </row>
    <row r="23" spans="2:16" x14ac:dyDescent="0.45">
      <c r="B23" s="22">
        <v>1004</v>
      </c>
      <c r="C23" t="s">
        <v>17</v>
      </c>
      <c r="D23" s="4">
        <f>SUMIFS(tbl_GLSalesDetail[Sales],tbl_GLSalesDetail[GL Account],$B23,tbl_GLSalesDetail[GL Date],D$19)</f>
        <v>0</v>
      </c>
      <c r="E23" s="4">
        <f>SUMIFS(tbl_GLSalesDetail[Sales],tbl_GLSalesDetail[GL Account],$B23,tbl_GLSalesDetail[GL Date],E$19)</f>
        <v>0</v>
      </c>
      <c r="F23" s="4">
        <f>SUMIFS(tbl_GLSalesDetail[Sales],tbl_GLSalesDetail[GL Account],$B23,tbl_GLSalesDetail[GL Date],F$19)</f>
        <v>0</v>
      </c>
      <c r="G23" s="4">
        <f>SUMIFS(tbl_GLSalesDetail[Sales],tbl_GLSalesDetail[GL Account],$B23,tbl_GLSalesDetail[GL Date],G$19)</f>
        <v>0</v>
      </c>
      <c r="H23" s="4">
        <f>SUMIFS(tbl_GLSalesDetail[Sales],tbl_GLSalesDetail[GL Account],$B23,tbl_GLSalesDetail[GL Date],H$19)</f>
        <v>0</v>
      </c>
      <c r="I23" s="4">
        <f>SUMIFS(tbl_GLSalesDetail[Sales],tbl_GLSalesDetail[GL Account],$B23,tbl_GLSalesDetail[GL Date],I$19)</f>
        <v>0</v>
      </c>
      <c r="J23" s="4">
        <f>SUMIFS(tbl_GLSalesDetail[Sales],tbl_GLSalesDetail[GL Account],$B23,tbl_GLSalesDetail[GL Date],J$19)</f>
        <v>0</v>
      </c>
      <c r="K23" s="4">
        <f>SUMIFS(tbl_GLSalesDetail[Sales],tbl_GLSalesDetail[GL Account],$B23,tbl_GLSalesDetail[GL Date],K$19)</f>
        <v>0</v>
      </c>
      <c r="L23" s="4">
        <f>SUMIFS(tbl_GLSalesDetail[Sales],tbl_GLSalesDetail[GL Account],$B23,tbl_GLSalesDetail[GL Date],L$19)</f>
        <v>0</v>
      </c>
      <c r="M23" s="4">
        <f>SUMIFS(tbl_GLSalesDetail[Sales],tbl_GLSalesDetail[GL Account],$B23,tbl_GLSalesDetail[GL Date],M$19)</f>
        <v>0</v>
      </c>
      <c r="N23" s="4">
        <f>SUMIFS(tbl_GLSalesDetail[Sales],tbl_GLSalesDetail[GL Account],$B23,tbl_GLSalesDetail[GL Date],N$19)</f>
        <v>0</v>
      </c>
      <c r="O23" s="4">
        <f>SUMIFS(tbl_GLSalesDetail[Sales],tbl_GLSalesDetail[GL Account],$B23,tbl_GLSalesDetail[GL Date],O$19)</f>
        <v>0</v>
      </c>
      <c r="P23" s="4">
        <f t="shared" si="10"/>
        <v>0</v>
      </c>
    </row>
    <row r="24" spans="2:16" x14ac:dyDescent="0.45">
      <c r="B24" s="22">
        <v>1005</v>
      </c>
      <c r="C24" t="s">
        <v>18</v>
      </c>
      <c r="D24" s="4">
        <f>SUMIFS(tbl_GLSalesDetail[Sales],tbl_GLSalesDetail[GL Account],$B24,tbl_GLSalesDetail[GL Date],D$19)</f>
        <v>0</v>
      </c>
      <c r="E24" s="4">
        <f>SUMIFS(tbl_GLSalesDetail[Sales],tbl_GLSalesDetail[GL Account],$B24,tbl_GLSalesDetail[GL Date],E$19)</f>
        <v>0</v>
      </c>
      <c r="F24" s="4">
        <f>SUMIFS(tbl_GLSalesDetail[Sales],tbl_GLSalesDetail[GL Account],$B24,tbl_GLSalesDetail[GL Date],F$19)</f>
        <v>0</v>
      </c>
      <c r="G24" s="4">
        <f>SUMIFS(tbl_GLSalesDetail[Sales],tbl_GLSalesDetail[GL Account],$B24,tbl_GLSalesDetail[GL Date],G$19)</f>
        <v>0</v>
      </c>
      <c r="H24" s="4">
        <f>SUMIFS(tbl_GLSalesDetail[Sales],tbl_GLSalesDetail[GL Account],$B24,tbl_GLSalesDetail[GL Date],H$19)</f>
        <v>0</v>
      </c>
      <c r="I24" s="4">
        <f>SUMIFS(tbl_GLSalesDetail[Sales],tbl_GLSalesDetail[GL Account],$B24,tbl_GLSalesDetail[GL Date],I$19)</f>
        <v>0</v>
      </c>
      <c r="J24" s="4">
        <f>SUMIFS(tbl_GLSalesDetail[Sales],tbl_GLSalesDetail[GL Account],$B24,tbl_GLSalesDetail[GL Date],J$19)</f>
        <v>0</v>
      </c>
      <c r="K24" s="4">
        <f>SUMIFS(tbl_GLSalesDetail[Sales],tbl_GLSalesDetail[GL Account],$B24,tbl_GLSalesDetail[GL Date],K$19)</f>
        <v>0</v>
      </c>
      <c r="L24" s="4">
        <f>SUMIFS(tbl_GLSalesDetail[Sales],tbl_GLSalesDetail[GL Account],$B24,tbl_GLSalesDetail[GL Date],L$19)</f>
        <v>0</v>
      </c>
      <c r="M24" s="4">
        <f>SUMIFS(tbl_GLSalesDetail[Sales],tbl_GLSalesDetail[GL Account],$B24,tbl_GLSalesDetail[GL Date],M$19)</f>
        <v>0</v>
      </c>
      <c r="N24" s="4">
        <f>SUMIFS(tbl_GLSalesDetail[Sales],tbl_GLSalesDetail[GL Account],$B24,tbl_GLSalesDetail[GL Date],N$19)</f>
        <v>0</v>
      </c>
      <c r="O24" s="4">
        <f>SUMIFS(tbl_GLSalesDetail[Sales],tbl_GLSalesDetail[GL Account],$B24,tbl_GLSalesDetail[GL Date],O$19)</f>
        <v>0</v>
      </c>
      <c r="P24" s="4">
        <f t="shared" si="10"/>
        <v>0</v>
      </c>
    </row>
    <row r="25" spans="2:16" x14ac:dyDescent="0.45">
      <c r="B25" s="22">
        <v>1006</v>
      </c>
      <c r="C25" t="s">
        <v>19</v>
      </c>
      <c r="D25" s="4">
        <f>SUMIFS(tbl_GLSalesDetail[Sales],tbl_GLSalesDetail[GL Account],$B25,tbl_GLSalesDetail[GL Date],D$19)</f>
        <v>0</v>
      </c>
      <c r="E25" s="4">
        <f>SUMIFS(tbl_GLSalesDetail[Sales],tbl_GLSalesDetail[GL Account],$B25,tbl_GLSalesDetail[GL Date],E$19)</f>
        <v>0</v>
      </c>
      <c r="F25" s="4">
        <f>SUMIFS(tbl_GLSalesDetail[Sales],tbl_GLSalesDetail[GL Account],$B25,tbl_GLSalesDetail[GL Date],F$19)</f>
        <v>0</v>
      </c>
      <c r="G25" s="4">
        <f>SUMIFS(tbl_GLSalesDetail[Sales],tbl_GLSalesDetail[GL Account],$B25,tbl_GLSalesDetail[GL Date],G$19)</f>
        <v>0</v>
      </c>
      <c r="H25" s="4">
        <f>SUMIFS(tbl_GLSalesDetail[Sales],tbl_GLSalesDetail[GL Account],$B25,tbl_GLSalesDetail[GL Date],H$19)</f>
        <v>0</v>
      </c>
      <c r="I25" s="4">
        <f>SUMIFS(tbl_GLSalesDetail[Sales],tbl_GLSalesDetail[GL Account],$B25,tbl_GLSalesDetail[GL Date],I$19)</f>
        <v>0</v>
      </c>
      <c r="J25" s="4">
        <f>SUMIFS(tbl_GLSalesDetail[Sales],tbl_GLSalesDetail[GL Account],$B25,tbl_GLSalesDetail[GL Date],J$19)</f>
        <v>0</v>
      </c>
      <c r="K25" s="4">
        <f>SUMIFS(tbl_GLSalesDetail[Sales],tbl_GLSalesDetail[GL Account],$B25,tbl_GLSalesDetail[GL Date],K$19)</f>
        <v>0</v>
      </c>
      <c r="L25" s="4">
        <f>SUMIFS(tbl_GLSalesDetail[Sales],tbl_GLSalesDetail[GL Account],$B25,tbl_GLSalesDetail[GL Date],L$19)</f>
        <v>0</v>
      </c>
      <c r="M25" s="4">
        <f>SUMIFS(tbl_GLSalesDetail[Sales],tbl_GLSalesDetail[GL Account],$B25,tbl_GLSalesDetail[GL Date],M$19)</f>
        <v>0</v>
      </c>
      <c r="N25" s="4">
        <f>SUMIFS(tbl_GLSalesDetail[Sales],tbl_GLSalesDetail[GL Account],$B25,tbl_GLSalesDetail[GL Date],N$19)</f>
        <v>0</v>
      </c>
      <c r="O25" s="4">
        <f>SUMIFS(tbl_GLSalesDetail[Sales],tbl_GLSalesDetail[GL Account],$B25,tbl_GLSalesDetail[GL Date],O$19)</f>
        <v>0</v>
      </c>
      <c r="P25" s="4">
        <f t="shared" si="10"/>
        <v>0</v>
      </c>
    </row>
    <row r="26" spans="2:16" ht="14.65" thickBot="1" x14ac:dyDescent="0.5">
      <c r="B26" s="24"/>
      <c r="C26" s="12" t="s">
        <v>20</v>
      </c>
      <c r="D26" s="13">
        <f t="shared" ref="D26:O26" si="11">SUM(D20:D25)</f>
        <v>854342.22500000021</v>
      </c>
      <c r="E26" s="13">
        <f t="shared" si="11"/>
        <v>522781.875</v>
      </c>
      <c r="F26" s="13">
        <f t="shared" si="11"/>
        <v>832538.02500000014</v>
      </c>
      <c r="G26" s="13">
        <f t="shared" si="11"/>
        <v>1351874.4250000003</v>
      </c>
      <c r="H26" s="13">
        <f t="shared" si="11"/>
        <v>706355.10000000009</v>
      </c>
      <c r="I26" s="13">
        <f t="shared" si="11"/>
        <v>856927.5</v>
      </c>
      <c r="J26" s="13">
        <f t="shared" si="11"/>
        <v>872785.10000000009</v>
      </c>
      <c r="K26" s="13">
        <f t="shared" si="11"/>
        <v>580831.35000000009</v>
      </c>
      <c r="L26" s="13">
        <f t="shared" si="11"/>
        <v>872266.17500000005</v>
      </c>
      <c r="M26" s="13">
        <f t="shared" si="11"/>
        <v>1420433.2999999998</v>
      </c>
      <c r="N26" s="13">
        <f t="shared" si="11"/>
        <v>546811.37500000012</v>
      </c>
      <c r="O26" s="13">
        <f t="shared" si="11"/>
        <v>896898.75</v>
      </c>
      <c r="P26" s="13">
        <f t="shared" ref="P26" si="12">SUM(D26:O26)</f>
        <v>10314845.199999999</v>
      </c>
    </row>
    <row r="27" spans="2:16" ht="14.65" thickTop="1" x14ac:dyDescent="0.45"/>
    <row r="28" spans="2:16" ht="14.65" thickBot="1" x14ac:dyDescent="0.5">
      <c r="B28" s="23" t="s">
        <v>81</v>
      </c>
      <c r="C28" s="2" t="s">
        <v>21</v>
      </c>
      <c r="D28" s="21">
        <f t="shared" ref="D28:P28" si="13">D6</f>
        <v>43101</v>
      </c>
      <c r="E28" s="21">
        <f t="shared" si="13"/>
        <v>43132</v>
      </c>
      <c r="F28" s="21">
        <f t="shared" si="13"/>
        <v>43160</v>
      </c>
      <c r="G28" s="21">
        <f t="shared" si="13"/>
        <v>43191</v>
      </c>
      <c r="H28" s="21">
        <f t="shared" si="13"/>
        <v>43221</v>
      </c>
      <c r="I28" s="21">
        <f t="shared" si="13"/>
        <v>43252</v>
      </c>
      <c r="J28" s="21">
        <f t="shared" si="13"/>
        <v>43282</v>
      </c>
      <c r="K28" s="21">
        <f t="shared" si="13"/>
        <v>43313</v>
      </c>
      <c r="L28" s="21">
        <f t="shared" si="13"/>
        <v>43344</v>
      </c>
      <c r="M28" s="21">
        <f t="shared" si="13"/>
        <v>43374</v>
      </c>
      <c r="N28" s="21">
        <f t="shared" si="13"/>
        <v>43405</v>
      </c>
      <c r="O28" s="21">
        <f t="shared" si="13"/>
        <v>43435</v>
      </c>
      <c r="P28" s="21" t="str">
        <f t="shared" si="13"/>
        <v>Total</v>
      </c>
    </row>
    <row r="29" spans="2:16" x14ac:dyDescent="0.45">
      <c r="B29" s="22" cm="1">
        <f t="array" ref="B29">INDEX(tbl_ChartOfAccounts[Secondary GL Account Group],MATCH('12-Month Cash Flow'!C29,tbl_ChartOfAccounts[Description],0),0)</f>
        <v>2001</v>
      </c>
      <c r="C29" t="s">
        <v>22</v>
      </c>
      <c r="D29" s="4">
        <f>SUMIFS(tbl_GLExpense[Amount],tbl_GLExpense[GL Account],$B29,tbl_GLExpense[GL Date],D$19)</f>
        <v>379</v>
      </c>
      <c r="E29" s="4">
        <f>SUMIFS(tbl_GLExpense[Amount],tbl_GLExpense[GL Account],$B29,tbl_GLExpense[GL Date],E$19)</f>
        <v>475</v>
      </c>
      <c r="F29" s="4">
        <f>SUMIFS(tbl_GLExpense[Amount],tbl_GLExpense[GL Account],$B29,tbl_GLExpense[GL Date],F$19)</f>
        <v>686</v>
      </c>
      <c r="G29" s="4">
        <f>SUMIFS(tbl_GLExpense[Amount],tbl_GLExpense[GL Account],$B29,tbl_GLExpense[GL Date],G$19)</f>
        <v>946</v>
      </c>
      <c r="H29" s="4">
        <f>SUMIFS(tbl_GLExpense[Amount],tbl_GLExpense[GL Account],$B29,tbl_GLExpense[GL Date],H$19)</f>
        <v>781</v>
      </c>
      <c r="I29" s="4">
        <f>SUMIFS(tbl_GLExpense[Amount],tbl_GLExpense[GL Account],$B29,tbl_GLExpense[GL Date],I$19)</f>
        <v>569</v>
      </c>
      <c r="J29" s="4">
        <f>SUMIFS(tbl_GLExpense[Amount],tbl_GLExpense[GL Account],$B29,tbl_GLExpense[GL Date],J$19)</f>
        <v>612</v>
      </c>
      <c r="K29" s="4">
        <f>SUMIFS(tbl_GLExpense[Amount],tbl_GLExpense[GL Account],$B29,tbl_GLExpense[GL Date],K$19)</f>
        <v>139</v>
      </c>
      <c r="L29" s="4">
        <f>SUMIFS(tbl_GLExpense[Amount],tbl_GLExpense[GL Account],$B29,tbl_GLExpense[GL Date],L$19)</f>
        <v>559</v>
      </c>
      <c r="M29" s="4">
        <f>SUMIFS(tbl_GLExpense[Amount],tbl_GLExpense[GL Account],$B29,tbl_GLExpense[GL Date],M$19)</f>
        <v>582</v>
      </c>
      <c r="N29" s="4">
        <f>SUMIFS(tbl_GLExpense[Amount],tbl_GLExpense[GL Account],$B29,tbl_GLExpense[GL Date],N$19)</f>
        <v>272</v>
      </c>
      <c r="O29" s="4">
        <f>SUMIFS(tbl_GLExpense[Amount],tbl_GLExpense[GL Account],$B29,tbl_GLExpense[GL Date],O$19)</f>
        <v>352</v>
      </c>
      <c r="P29" s="4">
        <f>SUM(D29:O29)</f>
        <v>6352</v>
      </c>
    </row>
    <row r="30" spans="2:16" x14ac:dyDescent="0.45">
      <c r="B30" s="22" cm="1">
        <f t="array" ref="B30">INDEX(tbl_ChartOfAccounts[Secondary GL Account Group],MATCH('12-Month Cash Flow'!C30,tbl_ChartOfAccounts[Description],0),0)</f>
        <v>2002</v>
      </c>
      <c r="C30" t="s">
        <v>23</v>
      </c>
      <c r="D30" s="4">
        <f>SUMIFS(tbl_GLExpense[Amount],tbl_GLExpense[GL Account],$B30,tbl_GLExpense[GL Date],D$19)</f>
        <v>750</v>
      </c>
      <c r="E30" s="4">
        <f>SUMIFS(tbl_GLExpense[Amount],tbl_GLExpense[GL Account],$B30,tbl_GLExpense[GL Date],E$19)</f>
        <v>331</v>
      </c>
      <c r="F30" s="4">
        <f>SUMIFS(tbl_GLExpense[Amount],tbl_GLExpense[GL Account],$B30,tbl_GLExpense[GL Date],F$19)</f>
        <v>843</v>
      </c>
      <c r="G30" s="4">
        <f>SUMIFS(tbl_GLExpense[Amount],tbl_GLExpense[GL Account],$B30,tbl_GLExpense[GL Date],G$19)</f>
        <v>932</v>
      </c>
      <c r="H30" s="4">
        <f>SUMIFS(tbl_GLExpense[Amount],tbl_GLExpense[GL Account],$B30,tbl_GLExpense[GL Date],H$19)</f>
        <v>966</v>
      </c>
      <c r="I30" s="4">
        <f>SUMIFS(tbl_GLExpense[Amount],tbl_GLExpense[GL Account],$B30,tbl_GLExpense[GL Date],I$19)</f>
        <v>435</v>
      </c>
      <c r="J30" s="4">
        <f>SUMIFS(tbl_GLExpense[Amount],tbl_GLExpense[GL Account],$B30,tbl_GLExpense[GL Date],J$19)</f>
        <v>354</v>
      </c>
      <c r="K30" s="4">
        <f>SUMIFS(tbl_GLExpense[Amount],tbl_GLExpense[GL Account],$B30,tbl_GLExpense[GL Date],K$19)</f>
        <v>199</v>
      </c>
      <c r="L30" s="4">
        <f>SUMIFS(tbl_GLExpense[Amount],tbl_GLExpense[GL Account],$B30,tbl_GLExpense[GL Date],L$19)</f>
        <v>546</v>
      </c>
      <c r="M30" s="4">
        <f>SUMIFS(tbl_GLExpense[Amount],tbl_GLExpense[GL Account],$B30,tbl_GLExpense[GL Date],M$19)</f>
        <v>937</v>
      </c>
      <c r="N30" s="4">
        <f>SUMIFS(tbl_GLExpense[Amount],tbl_GLExpense[GL Account],$B30,tbl_GLExpense[GL Date],N$19)</f>
        <v>957</v>
      </c>
      <c r="O30" s="4">
        <f>SUMIFS(tbl_GLExpense[Amount],tbl_GLExpense[GL Account],$B30,tbl_GLExpense[GL Date],O$19)</f>
        <v>454</v>
      </c>
      <c r="P30" s="4">
        <f t="shared" ref="P30:P45" si="14">SUM(D30:O30)</f>
        <v>7704</v>
      </c>
    </row>
    <row r="31" spans="2:16" x14ac:dyDescent="0.45">
      <c r="B31" s="22" cm="1">
        <f t="array" ref="B31">INDEX(tbl_ChartOfAccounts[Secondary GL Account Group],MATCH('12-Month Cash Flow'!C31,tbl_ChartOfAccounts[Description],0),0)</f>
        <v>2003</v>
      </c>
      <c r="C31" t="s">
        <v>24</v>
      </c>
      <c r="D31" s="4">
        <f>SUMIFS(tbl_GLExpense[Amount],tbl_GLExpense[GL Account],$B31,tbl_GLExpense[GL Date],D$19)</f>
        <v>484</v>
      </c>
      <c r="E31" s="4">
        <f>SUMIFS(tbl_GLExpense[Amount],tbl_GLExpense[GL Account],$B31,tbl_GLExpense[GL Date],E$19)</f>
        <v>383</v>
      </c>
      <c r="F31" s="4">
        <f>SUMIFS(tbl_GLExpense[Amount],tbl_GLExpense[GL Account],$B31,tbl_GLExpense[GL Date],F$19)</f>
        <v>986</v>
      </c>
      <c r="G31" s="4">
        <f>SUMIFS(tbl_GLExpense[Amount],tbl_GLExpense[GL Account],$B31,tbl_GLExpense[GL Date],G$19)</f>
        <v>203</v>
      </c>
      <c r="H31" s="4">
        <f>SUMIFS(tbl_GLExpense[Amount],tbl_GLExpense[GL Account],$B31,tbl_GLExpense[GL Date],H$19)</f>
        <v>787</v>
      </c>
      <c r="I31" s="4">
        <f>SUMIFS(tbl_GLExpense[Amount],tbl_GLExpense[GL Account],$B31,tbl_GLExpense[GL Date],I$19)</f>
        <v>562</v>
      </c>
      <c r="J31" s="4">
        <f>SUMIFS(tbl_GLExpense[Amount],tbl_GLExpense[GL Account],$B31,tbl_GLExpense[GL Date],J$19)</f>
        <v>958</v>
      </c>
      <c r="K31" s="4">
        <f>SUMIFS(tbl_GLExpense[Amount],tbl_GLExpense[GL Account],$B31,tbl_GLExpense[GL Date],K$19)</f>
        <v>536</v>
      </c>
      <c r="L31" s="4">
        <f>SUMIFS(tbl_GLExpense[Amount],tbl_GLExpense[GL Account],$B31,tbl_GLExpense[GL Date],L$19)</f>
        <v>258</v>
      </c>
      <c r="M31" s="4">
        <f>SUMIFS(tbl_GLExpense[Amount],tbl_GLExpense[GL Account],$B31,tbl_GLExpense[GL Date],M$19)</f>
        <v>879</v>
      </c>
      <c r="N31" s="4">
        <f>SUMIFS(tbl_GLExpense[Amount],tbl_GLExpense[GL Account],$B31,tbl_GLExpense[GL Date],N$19)</f>
        <v>215</v>
      </c>
      <c r="O31" s="4">
        <f>SUMIFS(tbl_GLExpense[Amount],tbl_GLExpense[GL Account],$B31,tbl_GLExpense[GL Date],O$19)</f>
        <v>263</v>
      </c>
      <c r="P31" s="4">
        <f t="shared" si="14"/>
        <v>6514</v>
      </c>
    </row>
    <row r="32" spans="2:16" x14ac:dyDescent="0.45">
      <c r="B32" s="22" cm="1">
        <f t="array" ref="B32">INDEX(tbl_ChartOfAccounts[Secondary GL Account Group],MATCH('12-Month Cash Flow'!C32,tbl_ChartOfAccounts[Description],0),0)</f>
        <v>2004</v>
      </c>
      <c r="C32" t="s">
        <v>25</v>
      </c>
      <c r="D32" s="4">
        <f>SUMIFS(tbl_GLExpense[Amount],tbl_GLExpense[GL Account],$B32,tbl_GLExpense[GL Date],D$19)</f>
        <v>154</v>
      </c>
      <c r="E32" s="4">
        <f>SUMIFS(tbl_GLExpense[Amount],tbl_GLExpense[GL Account],$B32,tbl_GLExpense[GL Date],E$19)</f>
        <v>610</v>
      </c>
      <c r="F32" s="4">
        <f>SUMIFS(tbl_GLExpense[Amount],tbl_GLExpense[GL Account],$B32,tbl_GLExpense[GL Date],F$19)</f>
        <v>683</v>
      </c>
      <c r="G32" s="4">
        <f>SUMIFS(tbl_GLExpense[Amount],tbl_GLExpense[GL Account],$B32,tbl_GLExpense[GL Date],G$19)</f>
        <v>825</v>
      </c>
      <c r="H32" s="4">
        <f>SUMIFS(tbl_GLExpense[Amount],tbl_GLExpense[GL Account],$B32,tbl_GLExpense[GL Date],H$19)</f>
        <v>349</v>
      </c>
      <c r="I32" s="4">
        <f>SUMIFS(tbl_GLExpense[Amount],tbl_GLExpense[GL Account],$B32,tbl_GLExpense[GL Date],I$19)</f>
        <v>893</v>
      </c>
      <c r="J32" s="4">
        <f>SUMIFS(tbl_GLExpense[Amount],tbl_GLExpense[GL Account],$B32,tbl_GLExpense[GL Date],J$19)</f>
        <v>769</v>
      </c>
      <c r="K32" s="4">
        <f>SUMIFS(tbl_GLExpense[Amount],tbl_GLExpense[GL Account],$B32,tbl_GLExpense[GL Date],K$19)</f>
        <v>625</v>
      </c>
      <c r="L32" s="4">
        <f>SUMIFS(tbl_GLExpense[Amount],tbl_GLExpense[GL Account],$B32,tbl_GLExpense[GL Date],L$19)</f>
        <v>867</v>
      </c>
      <c r="M32" s="4">
        <f>SUMIFS(tbl_GLExpense[Amount],tbl_GLExpense[GL Account],$B32,tbl_GLExpense[GL Date],M$19)</f>
        <v>835</v>
      </c>
      <c r="N32" s="4">
        <f>SUMIFS(tbl_GLExpense[Amount],tbl_GLExpense[GL Account],$B32,tbl_GLExpense[GL Date],N$19)</f>
        <v>140</v>
      </c>
      <c r="O32" s="4">
        <f>SUMIFS(tbl_GLExpense[Amount],tbl_GLExpense[GL Account],$B32,tbl_GLExpense[GL Date],O$19)</f>
        <v>190</v>
      </c>
      <c r="P32" s="4">
        <f t="shared" si="14"/>
        <v>6940</v>
      </c>
    </row>
    <row r="33" spans="2:16" x14ac:dyDescent="0.45">
      <c r="B33" s="22" cm="1">
        <f t="array" ref="B33">INDEX(tbl_ChartOfAccounts[Secondary GL Account Group],MATCH('12-Month Cash Flow'!C33,tbl_ChartOfAccounts[Description],0),0)</f>
        <v>2005</v>
      </c>
      <c r="C33" t="s">
        <v>26</v>
      </c>
      <c r="D33" s="4">
        <f>SUMIFS(tbl_GLExpense[Amount],tbl_GLExpense[GL Account],$B33,tbl_GLExpense[GL Date],D$19)</f>
        <v>199</v>
      </c>
      <c r="E33" s="4">
        <f>SUMIFS(tbl_GLExpense[Amount],tbl_GLExpense[GL Account],$B33,tbl_GLExpense[GL Date],E$19)</f>
        <v>239</v>
      </c>
      <c r="F33" s="4">
        <f>SUMIFS(tbl_GLExpense[Amount],tbl_GLExpense[GL Account],$B33,tbl_GLExpense[GL Date],F$19)</f>
        <v>842</v>
      </c>
      <c r="G33" s="4">
        <f>SUMIFS(tbl_GLExpense[Amount],tbl_GLExpense[GL Account],$B33,tbl_GLExpense[GL Date],G$19)</f>
        <v>547</v>
      </c>
      <c r="H33" s="4">
        <f>SUMIFS(tbl_GLExpense[Amount],tbl_GLExpense[GL Account],$B33,tbl_GLExpense[GL Date],H$19)</f>
        <v>563</v>
      </c>
      <c r="I33" s="4">
        <f>SUMIFS(tbl_GLExpense[Amount],tbl_GLExpense[GL Account],$B33,tbl_GLExpense[GL Date],I$19)</f>
        <v>845</v>
      </c>
      <c r="J33" s="4">
        <f>SUMIFS(tbl_GLExpense[Amount],tbl_GLExpense[GL Account],$B33,tbl_GLExpense[GL Date],J$19)</f>
        <v>437</v>
      </c>
      <c r="K33" s="4">
        <f>SUMIFS(tbl_GLExpense[Amount],tbl_GLExpense[GL Account],$B33,tbl_GLExpense[GL Date],K$19)</f>
        <v>951</v>
      </c>
      <c r="L33" s="4">
        <f>SUMIFS(tbl_GLExpense[Amount],tbl_GLExpense[GL Account],$B33,tbl_GLExpense[GL Date],L$19)</f>
        <v>510</v>
      </c>
      <c r="M33" s="4">
        <f>SUMIFS(tbl_GLExpense[Amount],tbl_GLExpense[GL Account],$B33,tbl_GLExpense[GL Date],M$19)</f>
        <v>333</v>
      </c>
      <c r="N33" s="4">
        <f>SUMIFS(tbl_GLExpense[Amount],tbl_GLExpense[GL Account],$B33,tbl_GLExpense[GL Date],N$19)</f>
        <v>887</v>
      </c>
      <c r="O33" s="4">
        <f>SUMIFS(tbl_GLExpense[Amount],tbl_GLExpense[GL Account],$B33,tbl_GLExpense[GL Date],O$19)</f>
        <v>274</v>
      </c>
      <c r="P33" s="4">
        <f t="shared" si="14"/>
        <v>6627</v>
      </c>
    </row>
    <row r="34" spans="2:16" x14ac:dyDescent="0.45">
      <c r="B34" s="22" cm="1">
        <f t="array" ref="B34">INDEX(tbl_ChartOfAccounts[Secondary GL Account Group],MATCH('12-Month Cash Flow'!C34,tbl_ChartOfAccounts[Description],0),0)</f>
        <v>2006</v>
      </c>
      <c r="C34" t="s">
        <v>27</v>
      </c>
      <c r="D34" s="4">
        <f>SUMIFS(tbl_GLExpense[Amount],tbl_GLExpense[GL Account],$B34,tbl_GLExpense[GL Date],D$19)</f>
        <v>245</v>
      </c>
      <c r="E34" s="4">
        <f>SUMIFS(tbl_GLExpense[Amount],tbl_GLExpense[GL Account],$B34,tbl_GLExpense[GL Date],E$19)</f>
        <v>599</v>
      </c>
      <c r="F34" s="4">
        <f>SUMIFS(tbl_GLExpense[Amount],tbl_GLExpense[GL Account],$B34,tbl_GLExpense[GL Date],F$19)</f>
        <v>353</v>
      </c>
      <c r="G34" s="4">
        <f>SUMIFS(tbl_GLExpense[Amount],tbl_GLExpense[GL Account],$B34,tbl_GLExpense[GL Date],G$19)</f>
        <v>551</v>
      </c>
      <c r="H34" s="4">
        <f>SUMIFS(tbl_GLExpense[Amount],tbl_GLExpense[GL Account],$B34,tbl_GLExpense[GL Date],H$19)</f>
        <v>359</v>
      </c>
      <c r="I34" s="4">
        <f>SUMIFS(tbl_GLExpense[Amount],tbl_GLExpense[GL Account],$B34,tbl_GLExpense[GL Date],I$19)</f>
        <v>597</v>
      </c>
      <c r="J34" s="4">
        <f>SUMIFS(tbl_GLExpense[Amount],tbl_GLExpense[GL Account],$B34,tbl_GLExpense[GL Date],J$19)</f>
        <v>82</v>
      </c>
      <c r="K34" s="4">
        <f>SUMIFS(tbl_GLExpense[Amount],tbl_GLExpense[GL Account],$B34,tbl_GLExpense[GL Date],K$19)</f>
        <v>81</v>
      </c>
      <c r="L34" s="4">
        <f>SUMIFS(tbl_GLExpense[Amount],tbl_GLExpense[GL Account],$B34,tbl_GLExpense[GL Date],L$19)</f>
        <v>432</v>
      </c>
      <c r="M34" s="4">
        <f>SUMIFS(tbl_GLExpense[Amount],tbl_GLExpense[GL Account],$B34,tbl_GLExpense[GL Date],M$19)</f>
        <v>554</v>
      </c>
      <c r="N34" s="4">
        <f>SUMIFS(tbl_GLExpense[Amount],tbl_GLExpense[GL Account],$B34,tbl_GLExpense[GL Date],N$19)</f>
        <v>373</v>
      </c>
      <c r="O34" s="4">
        <f>SUMIFS(tbl_GLExpense[Amount],tbl_GLExpense[GL Account],$B34,tbl_GLExpense[GL Date],O$19)</f>
        <v>444</v>
      </c>
      <c r="P34" s="4">
        <f t="shared" si="14"/>
        <v>4670</v>
      </c>
    </row>
    <row r="35" spans="2:16" x14ac:dyDescent="0.45">
      <c r="B35" s="22" cm="1">
        <f t="array" ref="B35">INDEX(tbl_ChartOfAccounts[Secondary GL Account Group],MATCH('12-Month Cash Flow'!C35,tbl_ChartOfAccounts[Description],0),0)</f>
        <v>2007</v>
      </c>
      <c r="C35" t="s">
        <v>28</v>
      </c>
      <c r="D35" s="4">
        <f>SUMIFS(tbl_GLExpense[Amount],tbl_GLExpense[GL Account],$B35,tbl_GLExpense[GL Date],D$19)</f>
        <v>575</v>
      </c>
      <c r="E35" s="4">
        <f>SUMIFS(tbl_GLExpense[Amount],tbl_GLExpense[GL Account],$B35,tbl_GLExpense[GL Date],E$19)</f>
        <v>484</v>
      </c>
      <c r="F35" s="4">
        <f>SUMIFS(tbl_GLExpense[Amount],tbl_GLExpense[GL Account],$B35,tbl_GLExpense[GL Date],F$19)</f>
        <v>35</v>
      </c>
      <c r="G35" s="4">
        <f>SUMIFS(tbl_GLExpense[Amount],tbl_GLExpense[GL Account],$B35,tbl_GLExpense[GL Date],G$19)</f>
        <v>194</v>
      </c>
      <c r="H35" s="4">
        <f>SUMIFS(tbl_GLExpense[Amount],tbl_GLExpense[GL Account],$B35,tbl_GLExpense[GL Date],H$19)</f>
        <v>722</v>
      </c>
      <c r="I35" s="4">
        <f>SUMIFS(tbl_GLExpense[Amount],tbl_GLExpense[GL Account],$B35,tbl_GLExpense[GL Date],I$19)</f>
        <v>464</v>
      </c>
      <c r="J35" s="4">
        <f>SUMIFS(tbl_GLExpense[Amount],tbl_GLExpense[GL Account],$B35,tbl_GLExpense[GL Date],J$19)</f>
        <v>585</v>
      </c>
      <c r="K35" s="4">
        <f>SUMIFS(tbl_GLExpense[Amount],tbl_GLExpense[GL Account],$B35,tbl_GLExpense[GL Date],K$19)</f>
        <v>677</v>
      </c>
      <c r="L35" s="4">
        <f>SUMIFS(tbl_GLExpense[Amount],tbl_GLExpense[GL Account],$B35,tbl_GLExpense[GL Date],L$19)</f>
        <v>112</v>
      </c>
      <c r="M35" s="4">
        <f>SUMIFS(tbl_GLExpense[Amount],tbl_GLExpense[GL Account],$B35,tbl_GLExpense[GL Date],M$19)</f>
        <v>774</v>
      </c>
      <c r="N35" s="4">
        <f>SUMIFS(tbl_GLExpense[Amount],tbl_GLExpense[GL Account],$B35,tbl_GLExpense[GL Date],N$19)</f>
        <v>131</v>
      </c>
      <c r="O35" s="4">
        <f>SUMIFS(tbl_GLExpense[Amount],tbl_GLExpense[GL Account],$B35,tbl_GLExpense[GL Date],O$19)</f>
        <v>268</v>
      </c>
      <c r="P35" s="4">
        <f t="shared" si="14"/>
        <v>5021</v>
      </c>
    </row>
    <row r="36" spans="2:16" x14ac:dyDescent="0.45">
      <c r="B36" s="22" cm="1">
        <f t="array" ref="B36">INDEX(tbl_ChartOfAccounts[Secondary GL Account Group],MATCH('12-Month Cash Flow'!C36,tbl_ChartOfAccounts[Description],0),0)</f>
        <v>2008</v>
      </c>
      <c r="C36" t="s">
        <v>29</v>
      </c>
      <c r="D36" s="4">
        <f>SUMIFS(tbl_GLExpense[Amount],tbl_GLExpense[GL Account],$B36,tbl_GLExpense[GL Date],D$19)</f>
        <v>303</v>
      </c>
      <c r="E36" s="4">
        <f>SUMIFS(tbl_GLExpense[Amount],tbl_GLExpense[GL Account],$B36,tbl_GLExpense[GL Date],E$19)</f>
        <v>21</v>
      </c>
      <c r="F36" s="4">
        <f>SUMIFS(tbl_GLExpense[Amount],tbl_GLExpense[GL Account],$B36,tbl_GLExpense[GL Date],F$19)</f>
        <v>534</v>
      </c>
      <c r="G36" s="4">
        <f>SUMIFS(tbl_GLExpense[Amount],tbl_GLExpense[GL Account],$B36,tbl_GLExpense[GL Date],G$19)</f>
        <v>822</v>
      </c>
      <c r="H36" s="4">
        <f>SUMIFS(tbl_GLExpense[Amount],tbl_GLExpense[GL Account],$B36,tbl_GLExpense[GL Date],H$19)</f>
        <v>319</v>
      </c>
      <c r="I36" s="4">
        <f>SUMIFS(tbl_GLExpense[Amount],tbl_GLExpense[GL Account],$B36,tbl_GLExpense[GL Date],I$19)</f>
        <v>17</v>
      </c>
      <c r="J36" s="4">
        <f>SUMIFS(tbl_GLExpense[Amount],tbl_GLExpense[GL Account],$B36,tbl_GLExpense[GL Date],J$19)</f>
        <v>774</v>
      </c>
      <c r="K36" s="4">
        <f>SUMIFS(tbl_GLExpense[Amount],tbl_GLExpense[GL Account],$B36,tbl_GLExpense[GL Date],K$19)</f>
        <v>227</v>
      </c>
      <c r="L36" s="4">
        <f>SUMIFS(tbl_GLExpense[Amount],tbl_GLExpense[GL Account],$B36,tbl_GLExpense[GL Date],L$19)</f>
        <v>772</v>
      </c>
      <c r="M36" s="4">
        <f>SUMIFS(tbl_GLExpense[Amount],tbl_GLExpense[GL Account],$B36,tbl_GLExpense[GL Date],M$19)</f>
        <v>502</v>
      </c>
      <c r="N36" s="4">
        <f>SUMIFS(tbl_GLExpense[Amount],tbl_GLExpense[GL Account],$B36,tbl_GLExpense[GL Date],N$19)</f>
        <v>589</v>
      </c>
      <c r="O36" s="4">
        <f>SUMIFS(tbl_GLExpense[Amount],tbl_GLExpense[GL Account],$B36,tbl_GLExpense[GL Date],O$19)</f>
        <v>407</v>
      </c>
      <c r="P36" s="4">
        <f t="shared" si="14"/>
        <v>5287</v>
      </c>
    </row>
    <row r="37" spans="2:16" x14ac:dyDescent="0.45">
      <c r="B37" s="22" cm="1">
        <f t="array" ref="B37">INDEX(tbl_ChartOfAccounts[Secondary GL Account Group],MATCH('12-Month Cash Flow'!C37,tbl_ChartOfAccounts[Description],0),0)</f>
        <v>2009</v>
      </c>
      <c r="C37" t="s">
        <v>30</v>
      </c>
      <c r="D37" s="4">
        <f>SUMIFS(tbl_GLExpense[Amount],tbl_GLExpense[GL Account],$B37,tbl_GLExpense[GL Date],D$19)</f>
        <v>348</v>
      </c>
      <c r="E37" s="4">
        <f>SUMIFS(tbl_GLExpense[Amount],tbl_GLExpense[GL Account],$B37,tbl_GLExpense[GL Date],E$19)</f>
        <v>97</v>
      </c>
      <c r="F37" s="4">
        <f>SUMIFS(tbl_GLExpense[Amount],tbl_GLExpense[GL Account],$B37,tbl_GLExpense[GL Date],F$19)</f>
        <v>396</v>
      </c>
      <c r="G37" s="4">
        <f>SUMIFS(tbl_GLExpense[Amount],tbl_GLExpense[GL Account],$B37,tbl_GLExpense[GL Date],G$19)</f>
        <v>314</v>
      </c>
      <c r="H37" s="4">
        <f>SUMIFS(tbl_GLExpense[Amount],tbl_GLExpense[GL Account],$B37,tbl_GLExpense[GL Date],H$19)</f>
        <v>66</v>
      </c>
      <c r="I37" s="4">
        <f>SUMIFS(tbl_GLExpense[Amount],tbl_GLExpense[GL Account],$B37,tbl_GLExpense[GL Date],I$19)</f>
        <v>707</v>
      </c>
      <c r="J37" s="4">
        <f>SUMIFS(tbl_GLExpense[Amount],tbl_GLExpense[GL Account],$B37,tbl_GLExpense[GL Date],J$19)</f>
        <v>96</v>
      </c>
      <c r="K37" s="4">
        <f>SUMIFS(tbl_GLExpense[Amount],tbl_GLExpense[GL Account],$B37,tbl_GLExpense[GL Date],K$19)</f>
        <v>577</v>
      </c>
      <c r="L37" s="4">
        <f>SUMIFS(tbl_GLExpense[Amount],tbl_GLExpense[GL Account],$B37,tbl_GLExpense[GL Date],L$19)</f>
        <v>893</v>
      </c>
      <c r="M37" s="4">
        <f>SUMIFS(tbl_GLExpense[Amount],tbl_GLExpense[GL Account],$B37,tbl_GLExpense[GL Date],M$19)</f>
        <v>550</v>
      </c>
      <c r="N37" s="4">
        <f>SUMIFS(tbl_GLExpense[Amount],tbl_GLExpense[GL Account],$B37,tbl_GLExpense[GL Date],N$19)</f>
        <v>262</v>
      </c>
      <c r="O37" s="4">
        <f>SUMIFS(tbl_GLExpense[Amount],tbl_GLExpense[GL Account],$B37,tbl_GLExpense[GL Date],O$19)</f>
        <v>732</v>
      </c>
      <c r="P37" s="4">
        <f t="shared" si="14"/>
        <v>5038</v>
      </c>
    </row>
    <row r="38" spans="2:16" x14ac:dyDescent="0.45">
      <c r="B38" s="22" cm="1">
        <f t="array" ref="B38">INDEX(tbl_ChartOfAccounts[Secondary GL Account Group],MATCH('12-Month Cash Flow'!C38,tbl_ChartOfAccounts[Description],0),0)</f>
        <v>2010</v>
      </c>
      <c r="C38" t="s">
        <v>31</v>
      </c>
      <c r="D38" s="4">
        <f>SUMIFS(tbl_GLExpense[Amount],tbl_GLExpense[GL Account],$B38,tbl_GLExpense[GL Date],D$19)</f>
        <v>177</v>
      </c>
      <c r="E38" s="4">
        <f>SUMIFS(tbl_GLExpense[Amount],tbl_GLExpense[GL Account],$B38,tbl_GLExpense[GL Date],E$19)</f>
        <v>183</v>
      </c>
      <c r="F38" s="4">
        <f>SUMIFS(tbl_GLExpense[Amount],tbl_GLExpense[GL Account],$B38,tbl_GLExpense[GL Date],F$19)</f>
        <v>123</v>
      </c>
      <c r="G38" s="4">
        <f>SUMIFS(tbl_GLExpense[Amount],tbl_GLExpense[GL Account],$B38,tbl_GLExpense[GL Date],G$19)</f>
        <v>482</v>
      </c>
      <c r="H38" s="4">
        <f>SUMIFS(tbl_GLExpense[Amount],tbl_GLExpense[GL Account],$B38,tbl_GLExpense[GL Date],H$19)</f>
        <v>9</v>
      </c>
      <c r="I38" s="4">
        <f>SUMIFS(tbl_GLExpense[Amount],tbl_GLExpense[GL Account],$B38,tbl_GLExpense[GL Date],I$19)</f>
        <v>226</v>
      </c>
      <c r="J38" s="4">
        <f>SUMIFS(tbl_GLExpense[Amount],tbl_GLExpense[GL Account],$B38,tbl_GLExpense[GL Date],J$19)</f>
        <v>385</v>
      </c>
      <c r="K38" s="4">
        <f>SUMIFS(tbl_GLExpense[Amount],tbl_GLExpense[GL Account],$B38,tbl_GLExpense[GL Date],K$19)</f>
        <v>627</v>
      </c>
      <c r="L38" s="4">
        <f>SUMIFS(tbl_GLExpense[Amount],tbl_GLExpense[GL Account],$B38,tbl_GLExpense[GL Date],L$19)</f>
        <v>752</v>
      </c>
      <c r="M38" s="4">
        <f>SUMIFS(tbl_GLExpense[Amount],tbl_GLExpense[GL Account],$B38,tbl_GLExpense[GL Date],M$19)</f>
        <v>696</v>
      </c>
      <c r="N38" s="4">
        <f>SUMIFS(tbl_GLExpense[Amount],tbl_GLExpense[GL Account],$B38,tbl_GLExpense[GL Date],N$19)</f>
        <v>767</v>
      </c>
      <c r="O38" s="4">
        <f>SUMIFS(tbl_GLExpense[Amount],tbl_GLExpense[GL Account],$B38,tbl_GLExpense[GL Date],O$19)</f>
        <v>429</v>
      </c>
      <c r="P38" s="4">
        <f t="shared" si="14"/>
        <v>4856</v>
      </c>
    </row>
    <row r="39" spans="2:16" x14ac:dyDescent="0.45">
      <c r="B39" s="22" cm="1">
        <f t="array" ref="B39">INDEX(tbl_ChartOfAccounts[Secondary GL Account Group],MATCH('12-Month Cash Flow'!C39,tbl_ChartOfAccounts[Description],0),0)</f>
        <v>2011</v>
      </c>
      <c r="C39" t="s">
        <v>32</v>
      </c>
      <c r="D39" s="4">
        <f>SUMIFS(tbl_GLExpense[Amount],tbl_GLExpense[GL Account],$B39,tbl_GLExpense[GL Date],D$19)</f>
        <v>554</v>
      </c>
      <c r="E39" s="4">
        <f>SUMIFS(tbl_GLExpense[Amount],tbl_GLExpense[GL Account],$B39,tbl_GLExpense[GL Date],E$19)</f>
        <v>938</v>
      </c>
      <c r="F39" s="4">
        <f>SUMIFS(tbl_GLExpense[Amount],tbl_GLExpense[GL Account],$B39,tbl_GLExpense[GL Date],F$19)</f>
        <v>605</v>
      </c>
      <c r="G39" s="4">
        <f>SUMIFS(tbl_GLExpense[Amount],tbl_GLExpense[GL Account],$B39,tbl_GLExpense[GL Date],G$19)</f>
        <v>322</v>
      </c>
      <c r="H39" s="4">
        <f>SUMIFS(tbl_GLExpense[Amount],tbl_GLExpense[GL Account],$B39,tbl_GLExpense[GL Date],H$19)</f>
        <v>948</v>
      </c>
      <c r="I39" s="4">
        <f>SUMIFS(tbl_GLExpense[Amount],tbl_GLExpense[GL Account],$B39,tbl_GLExpense[GL Date],I$19)</f>
        <v>763</v>
      </c>
      <c r="J39" s="4">
        <f>SUMIFS(tbl_GLExpense[Amount],tbl_GLExpense[GL Account],$B39,tbl_GLExpense[GL Date],J$19)</f>
        <v>937</v>
      </c>
      <c r="K39" s="4">
        <f>SUMIFS(tbl_GLExpense[Amount],tbl_GLExpense[GL Account],$B39,tbl_GLExpense[GL Date],K$19)</f>
        <v>845</v>
      </c>
      <c r="L39" s="4">
        <f>SUMIFS(tbl_GLExpense[Amount],tbl_GLExpense[GL Account],$B39,tbl_GLExpense[GL Date],L$19)</f>
        <v>749</v>
      </c>
      <c r="M39" s="4">
        <f>SUMIFS(tbl_GLExpense[Amount],tbl_GLExpense[GL Account],$B39,tbl_GLExpense[GL Date],M$19)</f>
        <v>136</v>
      </c>
      <c r="N39" s="4">
        <f>SUMIFS(tbl_GLExpense[Amount],tbl_GLExpense[GL Account],$B39,tbl_GLExpense[GL Date],N$19)</f>
        <v>411</v>
      </c>
      <c r="O39" s="4">
        <f>SUMIFS(tbl_GLExpense[Amount],tbl_GLExpense[GL Account],$B39,tbl_GLExpense[GL Date],O$19)</f>
        <v>867</v>
      </c>
      <c r="P39" s="4">
        <f t="shared" si="14"/>
        <v>8075</v>
      </c>
    </row>
    <row r="40" spans="2:16" x14ac:dyDescent="0.45">
      <c r="B40" s="22" cm="1">
        <f t="array" ref="B40">INDEX(tbl_ChartOfAccounts[Secondary GL Account Group],MATCH('12-Month Cash Flow'!C40,tbl_ChartOfAccounts[Description],0),0)</f>
        <v>2012</v>
      </c>
      <c r="C40" t="s">
        <v>33</v>
      </c>
      <c r="D40" s="4">
        <f>SUMIFS(tbl_GLExpense[Amount],tbl_GLExpense[GL Account],$B40,tbl_GLExpense[GL Date],D$19)</f>
        <v>877</v>
      </c>
      <c r="E40" s="4">
        <f>SUMIFS(tbl_GLExpense[Amount],tbl_GLExpense[GL Account],$B40,tbl_GLExpense[GL Date],E$19)</f>
        <v>378</v>
      </c>
      <c r="F40" s="4">
        <f>SUMIFS(tbl_GLExpense[Amount],tbl_GLExpense[GL Account],$B40,tbl_GLExpense[GL Date],F$19)</f>
        <v>94</v>
      </c>
      <c r="G40" s="4">
        <f>SUMIFS(tbl_GLExpense[Amount],tbl_GLExpense[GL Account],$B40,tbl_GLExpense[GL Date],G$19)</f>
        <v>854</v>
      </c>
      <c r="H40" s="4">
        <f>SUMIFS(tbl_GLExpense[Amount],tbl_GLExpense[GL Account],$B40,tbl_GLExpense[GL Date],H$19)</f>
        <v>493</v>
      </c>
      <c r="I40" s="4">
        <f>SUMIFS(tbl_GLExpense[Amount],tbl_GLExpense[GL Account],$B40,tbl_GLExpense[GL Date],I$19)</f>
        <v>284</v>
      </c>
      <c r="J40" s="4">
        <f>SUMIFS(tbl_GLExpense[Amount],tbl_GLExpense[GL Account],$B40,tbl_GLExpense[GL Date],J$19)</f>
        <v>738</v>
      </c>
      <c r="K40" s="4">
        <f>SUMIFS(tbl_GLExpense[Amount],tbl_GLExpense[GL Account],$B40,tbl_GLExpense[GL Date],K$19)</f>
        <v>266</v>
      </c>
      <c r="L40" s="4">
        <f>SUMIFS(tbl_GLExpense[Amount],tbl_GLExpense[GL Account],$B40,tbl_GLExpense[GL Date],L$19)</f>
        <v>528</v>
      </c>
      <c r="M40" s="4">
        <f>SUMIFS(tbl_GLExpense[Amount],tbl_GLExpense[GL Account],$B40,tbl_GLExpense[GL Date],M$19)</f>
        <v>155</v>
      </c>
      <c r="N40" s="4">
        <f>SUMIFS(tbl_GLExpense[Amount],tbl_GLExpense[GL Account],$B40,tbl_GLExpense[GL Date],N$19)</f>
        <v>899</v>
      </c>
      <c r="O40" s="4">
        <f>SUMIFS(tbl_GLExpense[Amount],tbl_GLExpense[GL Account],$B40,tbl_GLExpense[GL Date],O$19)</f>
        <v>217</v>
      </c>
      <c r="P40" s="4">
        <f t="shared" si="14"/>
        <v>5783</v>
      </c>
    </row>
    <row r="41" spans="2:16" x14ac:dyDescent="0.45">
      <c r="B41" s="22" cm="1">
        <f t="array" ref="B41">INDEX(tbl_ChartOfAccounts[Secondary GL Account Group],MATCH('12-Month Cash Flow'!C41,tbl_ChartOfAccounts[Description],0),0)</f>
        <v>2013</v>
      </c>
      <c r="C41" t="s">
        <v>34</v>
      </c>
      <c r="D41" s="4">
        <f>SUMIFS(tbl_GLExpense[Amount],tbl_GLExpense[GL Account],$B41,tbl_GLExpense[GL Date],D$19)</f>
        <v>595</v>
      </c>
      <c r="E41" s="4">
        <f>SUMIFS(tbl_GLExpense[Amount],tbl_GLExpense[GL Account],$B41,tbl_GLExpense[GL Date],E$19)</f>
        <v>492</v>
      </c>
      <c r="F41" s="4">
        <f>SUMIFS(tbl_GLExpense[Amount],tbl_GLExpense[GL Account],$B41,tbl_GLExpense[GL Date],F$19)</f>
        <v>406</v>
      </c>
      <c r="G41" s="4">
        <f>SUMIFS(tbl_GLExpense[Amount],tbl_GLExpense[GL Account],$B41,tbl_GLExpense[GL Date],G$19)</f>
        <v>833</v>
      </c>
      <c r="H41" s="4">
        <f>SUMIFS(tbl_GLExpense[Amount],tbl_GLExpense[GL Account],$B41,tbl_GLExpense[GL Date],H$19)</f>
        <v>224</v>
      </c>
      <c r="I41" s="4">
        <f>SUMIFS(tbl_GLExpense[Amount],tbl_GLExpense[GL Account],$B41,tbl_GLExpense[GL Date],I$19)</f>
        <v>659</v>
      </c>
      <c r="J41" s="4">
        <f>SUMIFS(tbl_GLExpense[Amount],tbl_GLExpense[GL Account],$B41,tbl_GLExpense[GL Date],J$19)</f>
        <v>675</v>
      </c>
      <c r="K41" s="4">
        <f>SUMIFS(tbl_GLExpense[Amount],tbl_GLExpense[GL Account],$B41,tbl_GLExpense[GL Date],K$19)</f>
        <v>992</v>
      </c>
      <c r="L41" s="4">
        <f>SUMIFS(tbl_GLExpense[Amount],tbl_GLExpense[GL Account],$B41,tbl_GLExpense[GL Date],L$19)</f>
        <v>788</v>
      </c>
      <c r="M41" s="4">
        <f>SUMIFS(tbl_GLExpense[Amount],tbl_GLExpense[GL Account],$B41,tbl_GLExpense[GL Date],M$19)</f>
        <v>392</v>
      </c>
      <c r="N41" s="4">
        <f>SUMIFS(tbl_GLExpense[Amount],tbl_GLExpense[GL Account],$B41,tbl_GLExpense[GL Date],N$19)</f>
        <v>527</v>
      </c>
      <c r="O41" s="4">
        <f>SUMIFS(tbl_GLExpense[Amount],tbl_GLExpense[GL Account],$B41,tbl_GLExpense[GL Date],O$19)</f>
        <v>601</v>
      </c>
      <c r="P41" s="4">
        <f t="shared" si="14"/>
        <v>7184</v>
      </c>
    </row>
    <row r="42" spans="2:16" x14ac:dyDescent="0.45">
      <c r="B42" s="22" cm="1">
        <f t="array" ref="B42">INDEX(tbl_ChartOfAccounts[Secondary GL Account Group],MATCH('12-Month Cash Flow'!C42,tbl_ChartOfAccounts[Description],0),0)</f>
        <v>2014</v>
      </c>
      <c r="C42" t="s">
        <v>35</v>
      </c>
      <c r="D42" s="4">
        <f>SUMIFS(tbl_GLExpense[Amount],tbl_GLExpense[GL Account],$B42,tbl_GLExpense[GL Date],D$19)</f>
        <v>626</v>
      </c>
      <c r="E42" s="4">
        <f>SUMIFS(tbl_GLExpense[Amount],tbl_GLExpense[GL Account],$B42,tbl_GLExpense[GL Date],E$19)</f>
        <v>187</v>
      </c>
      <c r="F42" s="4">
        <f>SUMIFS(tbl_GLExpense[Amount],tbl_GLExpense[GL Account],$B42,tbl_GLExpense[GL Date],F$19)</f>
        <v>469</v>
      </c>
      <c r="G42" s="4">
        <f>SUMIFS(tbl_GLExpense[Amount],tbl_GLExpense[GL Account],$B42,tbl_GLExpense[GL Date],G$19)</f>
        <v>124</v>
      </c>
      <c r="H42" s="4">
        <f>SUMIFS(tbl_GLExpense[Amount],tbl_GLExpense[GL Account],$B42,tbl_GLExpense[GL Date],H$19)</f>
        <v>531</v>
      </c>
      <c r="I42" s="4">
        <f>SUMIFS(tbl_GLExpense[Amount],tbl_GLExpense[GL Account],$B42,tbl_GLExpense[GL Date],I$19)</f>
        <v>759</v>
      </c>
      <c r="J42" s="4">
        <f>SUMIFS(tbl_GLExpense[Amount],tbl_GLExpense[GL Account],$B42,tbl_GLExpense[GL Date],J$19)</f>
        <v>909</v>
      </c>
      <c r="K42" s="4">
        <f>SUMIFS(tbl_GLExpense[Amount],tbl_GLExpense[GL Account],$B42,tbl_GLExpense[GL Date],K$19)</f>
        <v>275</v>
      </c>
      <c r="L42" s="4">
        <f>SUMIFS(tbl_GLExpense[Amount],tbl_GLExpense[GL Account],$B42,tbl_GLExpense[GL Date],L$19)</f>
        <v>772</v>
      </c>
      <c r="M42" s="4">
        <f>SUMIFS(tbl_GLExpense[Amount],tbl_GLExpense[GL Account],$B42,tbl_GLExpense[GL Date],M$19)</f>
        <v>800</v>
      </c>
      <c r="N42" s="4">
        <f>SUMIFS(tbl_GLExpense[Amount],tbl_GLExpense[GL Account],$B42,tbl_GLExpense[GL Date],N$19)</f>
        <v>632</v>
      </c>
      <c r="O42" s="4">
        <f>SUMIFS(tbl_GLExpense[Amount],tbl_GLExpense[GL Account],$B42,tbl_GLExpense[GL Date],O$19)</f>
        <v>848</v>
      </c>
      <c r="P42" s="4">
        <f t="shared" si="14"/>
        <v>6932</v>
      </c>
    </row>
    <row r="43" spans="2:16" x14ac:dyDescent="0.45">
      <c r="B43" s="22" cm="1">
        <f t="array" ref="B43">INDEX(tbl_ChartOfAccounts[Secondary GL Account Group],MATCH('12-Month Cash Flow'!C43,tbl_ChartOfAccounts[Description],0),0)</f>
        <v>2015</v>
      </c>
      <c r="C43" t="s">
        <v>36</v>
      </c>
      <c r="D43" s="4">
        <f>SUMIFS(tbl_GLExpense[Amount],tbl_GLExpense[GL Account],$B43,tbl_GLExpense[GL Date],D$19)</f>
        <v>659</v>
      </c>
      <c r="E43" s="4">
        <f>SUMIFS(tbl_GLExpense[Amount],tbl_GLExpense[GL Account],$B43,tbl_GLExpense[GL Date],E$19)</f>
        <v>678</v>
      </c>
      <c r="F43" s="4">
        <f>SUMIFS(tbl_GLExpense[Amount],tbl_GLExpense[GL Account],$B43,tbl_GLExpense[GL Date],F$19)</f>
        <v>228</v>
      </c>
      <c r="G43" s="4">
        <f>SUMIFS(tbl_GLExpense[Amount],tbl_GLExpense[GL Account],$B43,tbl_GLExpense[GL Date],G$19)</f>
        <v>519</v>
      </c>
      <c r="H43" s="4">
        <f>SUMIFS(tbl_GLExpense[Amount],tbl_GLExpense[GL Account],$B43,tbl_GLExpense[GL Date],H$19)</f>
        <v>582</v>
      </c>
      <c r="I43" s="4">
        <f>SUMIFS(tbl_GLExpense[Amount],tbl_GLExpense[GL Account],$B43,tbl_GLExpense[GL Date],I$19)</f>
        <v>773</v>
      </c>
      <c r="J43" s="4">
        <f>SUMIFS(tbl_GLExpense[Amount],tbl_GLExpense[GL Account],$B43,tbl_GLExpense[GL Date],J$19)</f>
        <v>372</v>
      </c>
      <c r="K43" s="4">
        <f>SUMIFS(tbl_GLExpense[Amount],tbl_GLExpense[GL Account],$B43,tbl_GLExpense[GL Date],K$19)</f>
        <v>316</v>
      </c>
      <c r="L43" s="4">
        <f>SUMIFS(tbl_GLExpense[Amount],tbl_GLExpense[GL Account],$B43,tbl_GLExpense[GL Date],L$19)</f>
        <v>257</v>
      </c>
      <c r="M43" s="4">
        <f>SUMIFS(tbl_GLExpense[Amount],tbl_GLExpense[GL Account],$B43,tbl_GLExpense[GL Date],M$19)</f>
        <v>957</v>
      </c>
      <c r="N43" s="4">
        <f>SUMIFS(tbl_GLExpense[Amount],tbl_GLExpense[GL Account],$B43,tbl_GLExpense[GL Date],N$19)</f>
        <v>834</v>
      </c>
      <c r="O43" s="4">
        <f>SUMIFS(tbl_GLExpense[Amount],tbl_GLExpense[GL Account],$B43,tbl_GLExpense[GL Date],O$19)</f>
        <v>31</v>
      </c>
      <c r="P43" s="4">
        <f t="shared" si="14"/>
        <v>6206</v>
      </c>
    </row>
    <row r="44" spans="2:16" x14ac:dyDescent="0.45">
      <c r="B44" s="22" cm="1">
        <f t="array" ref="B44">INDEX(tbl_ChartOfAccounts[Secondary GL Account Group],MATCH('12-Month Cash Flow'!C44,tbl_ChartOfAccounts[Description],0),0)</f>
        <v>2016</v>
      </c>
      <c r="C44" t="s">
        <v>37</v>
      </c>
      <c r="D44" s="4">
        <f>SUMIFS(tbl_GLExpense[Amount],tbl_GLExpense[GL Account],$B44,tbl_GLExpense[GL Date],D$19)</f>
        <v>435</v>
      </c>
      <c r="E44" s="4">
        <f>SUMIFS(tbl_GLExpense[Amount],tbl_GLExpense[GL Account],$B44,tbl_GLExpense[GL Date],E$19)</f>
        <v>777</v>
      </c>
      <c r="F44" s="4">
        <f>SUMIFS(tbl_GLExpense[Amount],tbl_GLExpense[GL Account],$B44,tbl_GLExpense[GL Date],F$19)</f>
        <v>17</v>
      </c>
      <c r="G44" s="4">
        <f>SUMIFS(tbl_GLExpense[Amount],tbl_GLExpense[GL Account],$B44,tbl_GLExpense[GL Date],G$19)</f>
        <v>523</v>
      </c>
      <c r="H44" s="4">
        <f>SUMIFS(tbl_GLExpense[Amount],tbl_GLExpense[GL Account],$B44,tbl_GLExpense[GL Date],H$19)</f>
        <v>856</v>
      </c>
      <c r="I44" s="4">
        <f>SUMIFS(tbl_GLExpense[Amount],tbl_GLExpense[GL Account],$B44,tbl_GLExpense[GL Date],I$19)</f>
        <v>43</v>
      </c>
      <c r="J44" s="4">
        <f>SUMIFS(tbl_GLExpense[Amount],tbl_GLExpense[GL Account],$B44,tbl_GLExpense[GL Date],J$19)</f>
        <v>763</v>
      </c>
      <c r="K44" s="4">
        <f>SUMIFS(tbl_GLExpense[Amount],tbl_GLExpense[GL Account],$B44,tbl_GLExpense[GL Date],K$19)</f>
        <v>55</v>
      </c>
      <c r="L44" s="4">
        <f>SUMIFS(tbl_GLExpense[Amount],tbl_GLExpense[GL Account],$B44,tbl_GLExpense[GL Date],L$19)</f>
        <v>991</v>
      </c>
      <c r="M44" s="4">
        <f>SUMIFS(tbl_GLExpense[Amount],tbl_GLExpense[GL Account],$B44,tbl_GLExpense[GL Date],M$19)</f>
        <v>514</v>
      </c>
      <c r="N44" s="4">
        <f>SUMIFS(tbl_GLExpense[Amount],tbl_GLExpense[GL Account],$B44,tbl_GLExpense[GL Date],N$19)</f>
        <v>766</v>
      </c>
      <c r="O44" s="4">
        <f>SUMIFS(tbl_GLExpense[Amount],tbl_GLExpense[GL Account],$B44,tbl_GLExpense[GL Date],O$19)</f>
        <v>464</v>
      </c>
      <c r="P44" s="4">
        <f t="shared" si="14"/>
        <v>6204</v>
      </c>
    </row>
    <row r="45" spans="2:16" x14ac:dyDescent="0.45">
      <c r="B45" s="22" cm="1">
        <f t="array" ref="B45">INDEX(tbl_ChartOfAccounts[Secondary GL Account Group],MATCH('12-Month Cash Flow'!C45,tbl_ChartOfAccounts[Description],0),0)</f>
        <v>2017</v>
      </c>
      <c r="C45" t="s">
        <v>38</v>
      </c>
      <c r="D45" s="4">
        <f>SUMIFS(tbl_GLExpense[Amount],tbl_GLExpense[GL Account],$B45,tbl_GLExpense[GL Date],D$19)</f>
        <v>359</v>
      </c>
      <c r="E45" s="4">
        <f>SUMIFS(tbl_GLExpense[Amount],tbl_GLExpense[GL Account],$B45,tbl_GLExpense[GL Date],E$19)</f>
        <v>919</v>
      </c>
      <c r="F45" s="4">
        <f>SUMIFS(tbl_GLExpense[Amount],tbl_GLExpense[GL Account],$B45,tbl_GLExpense[GL Date],F$19)</f>
        <v>950</v>
      </c>
      <c r="G45" s="4">
        <f>SUMIFS(tbl_GLExpense[Amount],tbl_GLExpense[GL Account],$B45,tbl_GLExpense[GL Date],G$19)</f>
        <v>703</v>
      </c>
      <c r="H45" s="4">
        <f>SUMIFS(tbl_GLExpense[Amount],tbl_GLExpense[GL Account],$B45,tbl_GLExpense[GL Date],H$19)</f>
        <v>291</v>
      </c>
      <c r="I45" s="4">
        <f>SUMIFS(tbl_GLExpense[Amount],tbl_GLExpense[GL Account],$B45,tbl_GLExpense[GL Date],I$19)</f>
        <v>172</v>
      </c>
      <c r="J45" s="4">
        <f>SUMIFS(tbl_GLExpense[Amount],tbl_GLExpense[GL Account],$B45,tbl_GLExpense[GL Date],J$19)</f>
        <v>732</v>
      </c>
      <c r="K45" s="4">
        <f>SUMIFS(tbl_GLExpense[Amount],tbl_GLExpense[GL Account],$B45,tbl_GLExpense[GL Date],K$19)</f>
        <v>939</v>
      </c>
      <c r="L45" s="4">
        <f>SUMIFS(tbl_GLExpense[Amount],tbl_GLExpense[GL Account],$B45,tbl_GLExpense[GL Date],L$19)</f>
        <v>820</v>
      </c>
      <c r="M45" s="4">
        <f>SUMIFS(tbl_GLExpense[Amount],tbl_GLExpense[GL Account],$B45,tbl_GLExpense[GL Date],M$19)</f>
        <v>5</v>
      </c>
      <c r="N45" s="4">
        <f>SUMIFS(tbl_GLExpense[Amount],tbl_GLExpense[GL Account],$B45,tbl_GLExpense[GL Date],N$19)</f>
        <v>415</v>
      </c>
      <c r="O45" s="4">
        <f>SUMIFS(tbl_GLExpense[Amount],tbl_GLExpense[GL Account],$B45,tbl_GLExpense[GL Date],O$19)</f>
        <v>789</v>
      </c>
      <c r="P45" s="4">
        <f t="shared" si="14"/>
        <v>7094</v>
      </c>
    </row>
    <row r="46" spans="2:16" ht="14.65" thickBot="1" x14ac:dyDescent="0.5">
      <c r="B46" s="24"/>
      <c r="C46" s="12" t="s">
        <v>39</v>
      </c>
      <c r="D46" s="13">
        <f>SUM(D29:D45)</f>
        <v>7719</v>
      </c>
      <c r="E46" s="13">
        <f t="shared" ref="E46:P46" si="15">SUM(E29:E45)</f>
        <v>7791</v>
      </c>
      <c r="F46" s="13">
        <f t="shared" si="15"/>
        <v>8250</v>
      </c>
      <c r="G46" s="13">
        <f t="shared" si="15"/>
        <v>9694</v>
      </c>
      <c r="H46" s="13">
        <f t="shared" si="15"/>
        <v>8846</v>
      </c>
      <c r="I46" s="13">
        <f t="shared" si="15"/>
        <v>8768</v>
      </c>
      <c r="J46" s="13">
        <f t="shared" si="15"/>
        <v>10178</v>
      </c>
      <c r="K46" s="13">
        <f t="shared" si="15"/>
        <v>8327</v>
      </c>
      <c r="L46" s="13">
        <f t="shared" si="15"/>
        <v>10606</v>
      </c>
      <c r="M46" s="13">
        <f t="shared" si="15"/>
        <v>9601</v>
      </c>
      <c r="N46" s="13">
        <f t="shared" si="15"/>
        <v>9077</v>
      </c>
      <c r="O46" s="13">
        <f t="shared" si="15"/>
        <v>7630</v>
      </c>
      <c r="P46" s="13">
        <f t="shared" si="15"/>
        <v>106487</v>
      </c>
    </row>
    <row r="47" spans="2:16" ht="14.65" thickTop="1" x14ac:dyDescent="0.45"/>
    <row r="48" spans="2:16" ht="14.65" thickBot="1" x14ac:dyDescent="0.5">
      <c r="B48" s="23" t="s">
        <v>81</v>
      </c>
      <c r="C48" s="2" t="s">
        <v>40</v>
      </c>
      <c r="D48" s="21">
        <f t="shared" ref="D48:P48" si="16">D6</f>
        <v>43101</v>
      </c>
      <c r="E48" s="21">
        <f t="shared" si="16"/>
        <v>43132</v>
      </c>
      <c r="F48" s="21">
        <f t="shared" si="16"/>
        <v>43160</v>
      </c>
      <c r="G48" s="21">
        <f t="shared" si="16"/>
        <v>43191</v>
      </c>
      <c r="H48" s="21">
        <f t="shared" si="16"/>
        <v>43221</v>
      </c>
      <c r="I48" s="21">
        <f t="shared" si="16"/>
        <v>43252</v>
      </c>
      <c r="J48" s="21">
        <f t="shared" si="16"/>
        <v>43282</v>
      </c>
      <c r="K48" s="21">
        <f t="shared" si="16"/>
        <v>43313</v>
      </c>
      <c r="L48" s="21">
        <f t="shared" si="16"/>
        <v>43344</v>
      </c>
      <c r="M48" s="21">
        <f t="shared" si="16"/>
        <v>43374</v>
      </c>
      <c r="N48" s="21">
        <f t="shared" si="16"/>
        <v>43405</v>
      </c>
      <c r="O48" s="21">
        <f t="shared" si="16"/>
        <v>43435</v>
      </c>
      <c r="P48" s="21" t="str">
        <f t="shared" si="16"/>
        <v>Total</v>
      </c>
    </row>
    <row r="49" spans="2:16" x14ac:dyDescent="0.45">
      <c r="B49" s="22" cm="1">
        <f t="array" ref="B49">INDEX(tbl_ChartOfAccounts[Secondary GL Account Group],MATCH('12-Month Cash Flow'!C49,tbl_ChartOfAccounts[Description],0),0)</f>
        <v>3001</v>
      </c>
      <c r="C49" t="s">
        <v>41</v>
      </c>
      <c r="D49" s="4">
        <f>SUMIFS(tbl_GLExpense[Amount],tbl_GLExpense[GL Account],$B49,tbl_GLExpense[GL Date],D$19)</f>
        <v>317</v>
      </c>
      <c r="E49" s="4">
        <f>SUMIFS(tbl_GLExpense[Amount],tbl_GLExpense[GL Account],$B49,tbl_GLExpense[GL Date],E$19)</f>
        <v>756</v>
      </c>
      <c r="F49" s="4">
        <f>SUMIFS(tbl_GLExpense[Amount],tbl_GLExpense[GL Account],$B49,tbl_GLExpense[GL Date],F$19)</f>
        <v>270</v>
      </c>
      <c r="G49" s="4">
        <f>SUMIFS(tbl_GLExpense[Amount],tbl_GLExpense[GL Account],$B49,tbl_GLExpense[GL Date],G$19)</f>
        <v>161</v>
      </c>
      <c r="H49" s="4">
        <f>SUMIFS(tbl_GLExpense[Amount],tbl_GLExpense[GL Account],$B49,tbl_GLExpense[GL Date],H$19)</f>
        <v>963</v>
      </c>
      <c r="I49" s="4">
        <f>SUMIFS(tbl_GLExpense[Amount],tbl_GLExpense[GL Account],$B49,tbl_GLExpense[GL Date],I$19)</f>
        <v>240</v>
      </c>
      <c r="J49" s="4">
        <f>SUMIFS(tbl_GLExpense[Amount],tbl_GLExpense[GL Account],$B49,tbl_GLExpense[GL Date],J$19)</f>
        <v>268</v>
      </c>
      <c r="K49" s="4">
        <f>SUMIFS(tbl_GLExpense[Amount],tbl_GLExpense[GL Account],$B49,tbl_GLExpense[GL Date],K$19)</f>
        <v>833</v>
      </c>
      <c r="L49" s="4">
        <f>SUMIFS(tbl_GLExpense[Amount],tbl_GLExpense[GL Account],$B49,tbl_GLExpense[GL Date],L$19)</f>
        <v>17</v>
      </c>
      <c r="M49" s="4">
        <f>SUMIFS(tbl_GLExpense[Amount],tbl_GLExpense[GL Account],$B49,tbl_GLExpense[GL Date],M$19)</f>
        <v>524</v>
      </c>
      <c r="N49" s="4">
        <f>SUMIFS(tbl_GLExpense[Amount],tbl_GLExpense[GL Account],$B49,tbl_GLExpense[GL Date],N$19)</f>
        <v>356</v>
      </c>
      <c r="O49" s="4">
        <f>SUMIFS(tbl_GLExpense[Amount],tbl_GLExpense[GL Account],$B49,tbl_GLExpense[GL Date],O$19)</f>
        <v>631</v>
      </c>
      <c r="P49" s="4">
        <f>SUM(D49:O49)</f>
        <v>5336</v>
      </c>
    </row>
    <row r="50" spans="2:16" x14ac:dyDescent="0.45">
      <c r="B50" s="22" cm="1">
        <f t="array" ref="B50">INDEX(tbl_ChartOfAccounts[Secondary GL Account Group],MATCH('12-Month Cash Flow'!C50,tbl_ChartOfAccounts[Description],0),0)</f>
        <v>3002</v>
      </c>
      <c r="C50" t="s">
        <v>42</v>
      </c>
      <c r="D50" s="4">
        <f>SUMIFS(tbl_GLExpense[Amount],tbl_GLExpense[GL Account],$B50,tbl_GLExpense[GL Date],D$19)</f>
        <v>618</v>
      </c>
      <c r="E50" s="4">
        <f>SUMIFS(tbl_GLExpense[Amount],tbl_GLExpense[GL Account],$B50,tbl_GLExpense[GL Date],E$19)</f>
        <v>517</v>
      </c>
      <c r="F50" s="4">
        <f>SUMIFS(tbl_GLExpense[Amount],tbl_GLExpense[GL Account],$B50,tbl_GLExpense[GL Date],F$19)</f>
        <v>557</v>
      </c>
      <c r="G50" s="4">
        <f>SUMIFS(tbl_GLExpense[Amount],tbl_GLExpense[GL Account],$B50,tbl_GLExpense[GL Date],G$19)</f>
        <v>75</v>
      </c>
      <c r="H50" s="4">
        <f>SUMIFS(tbl_GLExpense[Amount],tbl_GLExpense[GL Account],$B50,tbl_GLExpense[GL Date],H$19)</f>
        <v>687</v>
      </c>
      <c r="I50" s="4">
        <f>SUMIFS(tbl_GLExpense[Amount],tbl_GLExpense[GL Account],$B50,tbl_GLExpense[GL Date],I$19)</f>
        <v>191</v>
      </c>
      <c r="J50" s="4">
        <f>SUMIFS(tbl_GLExpense[Amount],tbl_GLExpense[GL Account],$B50,tbl_GLExpense[GL Date],J$19)</f>
        <v>9</v>
      </c>
      <c r="K50" s="4">
        <f>SUMIFS(tbl_GLExpense[Amount],tbl_GLExpense[GL Account],$B50,tbl_GLExpense[GL Date],K$19)</f>
        <v>393</v>
      </c>
      <c r="L50" s="4">
        <f>SUMIFS(tbl_GLExpense[Amount],tbl_GLExpense[GL Account],$B50,tbl_GLExpense[GL Date],L$19)</f>
        <v>345</v>
      </c>
      <c r="M50" s="4">
        <f>SUMIFS(tbl_GLExpense[Amount],tbl_GLExpense[GL Account],$B50,tbl_GLExpense[GL Date],M$19)</f>
        <v>601</v>
      </c>
      <c r="N50" s="4">
        <f>SUMIFS(tbl_GLExpense[Amount],tbl_GLExpense[GL Account],$B50,tbl_GLExpense[GL Date],N$19)</f>
        <v>808</v>
      </c>
      <c r="O50" s="4">
        <f>SUMIFS(tbl_GLExpense[Amount],tbl_GLExpense[GL Account],$B50,tbl_GLExpense[GL Date],O$19)</f>
        <v>22</v>
      </c>
      <c r="P50" s="4">
        <f t="shared" ref="P50:P57" si="17">SUM(D50:O50)</f>
        <v>4823</v>
      </c>
    </row>
    <row r="51" spans="2:16" x14ac:dyDescent="0.45">
      <c r="B51" s="22" cm="1">
        <f t="array" ref="B51">INDEX(tbl_ChartOfAccounts[Secondary GL Account Group],MATCH('12-Month Cash Flow'!C51,tbl_ChartOfAccounts[Description],0),0)</f>
        <v>3003</v>
      </c>
      <c r="C51" t="s">
        <v>43</v>
      </c>
      <c r="D51" s="4">
        <f>SUMIFS(tbl_GLExpense[Amount],tbl_GLExpense[GL Account],$B51,tbl_GLExpense[GL Date],D$19)</f>
        <v>301</v>
      </c>
      <c r="E51" s="4">
        <f>SUMIFS(tbl_GLExpense[Amount],tbl_GLExpense[GL Account],$B51,tbl_GLExpense[GL Date],E$19)</f>
        <v>257</v>
      </c>
      <c r="F51" s="4">
        <f>SUMIFS(tbl_GLExpense[Amount],tbl_GLExpense[GL Account],$B51,tbl_GLExpense[GL Date],F$19)</f>
        <v>328</v>
      </c>
      <c r="G51" s="4">
        <f>SUMIFS(tbl_GLExpense[Amount],tbl_GLExpense[GL Account],$B51,tbl_GLExpense[GL Date],G$19)</f>
        <v>43</v>
      </c>
      <c r="H51" s="4">
        <f>SUMIFS(tbl_GLExpense[Amount],tbl_GLExpense[GL Account],$B51,tbl_GLExpense[GL Date],H$19)</f>
        <v>73</v>
      </c>
      <c r="I51" s="4">
        <f>SUMIFS(tbl_GLExpense[Amount],tbl_GLExpense[GL Account],$B51,tbl_GLExpense[GL Date],I$19)</f>
        <v>604</v>
      </c>
      <c r="J51" s="4">
        <f>SUMIFS(tbl_GLExpense[Amount],tbl_GLExpense[GL Account],$B51,tbl_GLExpense[GL Date],J$19)</f>
        <v>418</v>
      </c>
      <c r="K51" s="4">
        <f>SUMIFS(tbl_GLExpense[Amount],tbl_GLExpense[GL Account],$B51,tbl_GLExpense[GL Date],K$19)</f>
        <v>205</v>
      </c>
      <c r="L51" s="4">
        <f>SUMIFS(tbl_GLExpense[Amount],tbl_GLExpense[GL Account],$B51,tbl_GLExpense[GL Date],L$19)</f>
        <v>494</v>
      </c>
      <c r="M51" s="4">
        <f>SUMIFS(tbl_GLExpense[Amount],tbl_GLExpense[GL Account],$B51,tbl_GLExpense[GL Date],M$19)</f>
        <v>714</v>
      </c>
      <c r="N51" s="4">
        <f>SUMIFS(tbl_GLExpense[Amount],tbl_GLExpense[GL Account],$B51,tbl_GLExpense[GL Date],N$19)</f>
        <v>583</v>
      </c>
      <c r="O51" s="4">
        <f>SUMIFS(tbl_GLExpense[Amount],tbl_GLExpense[GL Account],$B51,tbl_GLExpense[GL Date],O$19)</f>
        <v>618</v>
      </c>
      <c r="P51" s="4">
        <f t="shared" si="17"/>
        <v>4638</v>
      </c>
    </row>
    <row r="52" spans="2:16" x14ac:dyDescent="0.45">
      <c r="B52" s="22" cm="1">
        <f t="array" ref="B52">INDEX(tbl_ChartOfAccounts[Secondary GL Account Group],MATCH('12-Month Cash Flow'!C52,tbl_ChartOfAccounts[Description],0),0)</f>
        <v>3004</v>
      </c>
      <c r="C52" t="s">
        <v>44</v>
      </c>
      <c r="D52" s="4">
        <f>SUMIFS(tbl_GLExpense[Amount],tbl_GLExpense[GL Account],$B52,tbl_GLExpense[GL Date],D$19)</f>
        <v>466</v>
      </c>
      <c r="E52" s="4">
        <f>SUMIFS(tbl_GLExpense[Amount],tbl_GLExpense[GL Account],$B52,tbl_GLExpense[GL Date],E$19)</f>
        <v>743</v>
      </c>
      <c r="F52" s="4">
        <f>SUMIFS(tbl_GLExpense[Amount],tbl_GLExpense[GL Account],$B52,tbl_GLExpense[GL Date],F$19)</f>
        <v>731</v>
      </c>
      <c r="G52" s="4">
        <f>SUMIFS(tbl_GLExpense[Amount],tbl_GLExpense[GL Account],$B52,tbl_GLExpense[GL Date],G$19)</f>
        <v>761</v>
      </c>
      <c r="H52" s="4">
        <f>SUMIFS(tbl_GLExpense[Amount],tbl_GLExpense[GL Account],$B52,tbl_GLExpense[GL Date],H$19)</f>
        <v>917</v>
      </c>
      <c r="I52" s="4">
        <f>SUMIFS(tbl_GLExpense[Amount],tbl_GLExpense[GL Account],$B52,tbl_GLExpense[GL Date],I$19)</f>
        <v>649</v>
      </c>
      <c r="J52" s="4">
        <f>SUMIFS(tbl_GLExpense[Amount],tbl_GLExpense[GL Account],$B52,tbl_GLExpense[GL Date],J$19)</f>
        <v>626</v>
      </c>
      <c r="K52" s="4">
        <f>SUMIFS(tbl_GLExpense[Amount],tbl_GLExpense[GL Account],$B52,tbl_GLExpense[GL Date],K$19)</f>
        <v>455</v>
      </c>
      <c r="L52" s="4">
        <f>SUMIFS(tbl_GLExpense[Amount],tbl_GLExpense[GL Account],$B52,tbl_GLExpense[GL Date],L$19)</f>
        <v>23</v>
      </c>
      <c r="M52" s="4">
        <f>SUMIFS(tbl_GLExpense[Amount],tbl_GLExpense[GL Account],$B52,tbl_GLExpense[GL Date],M$19)</f>
        <v>542</v>
      </c>
      <c r="N52" s="4">
        <f>SUMIFS(tbl_GLExpense[Amount],tbl_GLExpense[GL Account],$B52,tbl_GLExpense[GL Date],N$19)</f>
        <v>430</v>
      </c>
      <c r="O52" s="4">
        <f>SUMIFS(tbl_GLExpense[Amount],tbl_GLExpense[GL Account],$B52,tbl_GLExpense[GL Date],O$19)</f>
        <v>508</v>
      </c>
      <c r="P52" s="4">
        <f t="shared" si="17"/>
        <v>6851</v>
      </c>
    </row>
    <row r="53" spans="2:16" x14ac:dyDescent="0.45">
      <c r="B53" s="22" cm="1">
        <f t="array" ref="B53">INDEX(tbl_ChartOfAccounts[Secondary GL Account Group],MATCH('12-Month Cash Flow'!C53,tbl_ChartOfAccounts[Description],0),0)</f>
        <v>3005</v>
      </c>
      <c r="C53" t="s">
        <v>45</v>
      </c>
      <c r="D53" s="4">
        <f>SUMIFS(tbl_GLExpense[Amount],tbl_GLExpense[GL Account],$B53,tbl_GLExpense[GL Date],D$19)</f>
        <v>465</v>
      </c>
      <c r="E53" s="4">
        <f>SUMIFS(tbl_GLExpense[Amount],tbl_GLExpense[GL Account],$B53,tbl_GLExpense[GL Date],E$19)</f>
        <v>81</v>
      </c>
      <c r="F53" s="4">
        <f>SUMIFS(tbl_GLExpense[Amount],tbl_GLExpense[GL Account],$B53,tbl_GLExpense[GL Date],F$19)</f>
        <v>589</v>
      </c>
      <c r="G53" s="4">
        <f>SUMIFS(tbl_GLExpense[Amount],tbl_GLExpense[GL Account],$B53,tbl_GLExpense[GL Date],G$19)</f>
        <v>92</v>
      </c>
      <c r="H53" s="4">
        <f>SUMIFS(tbl_GLExpense[Amount],tbl_GLExpense[GL Account],$B53,tbl_GLExpense[GL Date],H$19)</f>
        <v>285</v>
      </c>
      <c r="I53" s="4">
        <f>SUMIFS(tbl_GLExpense[Amount],tbl_GLExpense[GL Account],$B53,tbl_GLExpense[GL Date],I$19)</f>
        <v>492</v>
      </c>
      <c r="J53" s="4">
        <f>SUMIFS(tbl_GLExpense[Amount],tbl_GLExpense[GL Account],$B53,tbl_GLExpense[GL Date],J$19)</f>
        <v>225</v>
      </c>
      <c r="K53" s="4">
        <f>SUMIFS(tbl_GLExpense[Amount],tbl_GLExpense[GL Account],$B53,tbl_GLExpense[GL Date],K$19)</f>
        <v>942</v>
      </c>
      <c r="L53" s="4">
        <f>SUMIFS(tbl_GLExpense[Amount],tbl_GLExpense[GL Account],$B53,tbl_GLExpense[GL Date],L$19)</f>
        <v>553</v>
      </c>
      <c r="M53" s="4">
        <f>SUMIFS(tbl_GLExpense[Amount],tbl_GLExpense[GL Account],$B53,tbl_GLExpense[GL Date],M$19)</f>
        <v>83</v>
      </c>
      <c r="N53" s="4">
        <f>SUMIFS(tbl_GLExpense[Amount],tbl_GLExpense[GL Account],$B53,tbl_GLExpense[GL Date],N$19)</f>
        <v>563</v>
      </c>
      <c r="O53" s="4">
        <f>SUMIFS(tbl_GLExpense[Amount],tbl_GLExpense[GL Account],$B53,tbl_GLExpense[GL Date],O$19)</f>
        <v>330</v>
      </c>
      <c r="P53" s="4">
        <f t="shared" si="17"/>
        <v>4700</v>
      </c>
    </row>
    <row r="54" spans="2:16" x14ac:dyDescent="0.45">
      <c r="B54" s="22" cm="1">
        <f t="array" ref="B54">INDEX(tbl_ChartOfAccounts[Secondary GL Account Group],MATCH('12-Month Cash Flow'!C54,tbl_ChartOfAccounts[Description],0),0)</f>
        <v>3006</v>
      </c>
      <c r="C54" t="s">
        <v>46</v>
      </c>
      <c r="D54" s="4">
        <f>SUMIFS(tbl_GLExpense[Amount],tbl_GLExpense[GL Account],$B54,tbl_GLExpense[GL Date],D$19)</f>
        <v>782</v>
      </c>
      <c r="E54" s="4">
        <f>SUMIFS(tbl_GLExpense[Amount],tbl_GLExpense[GL Account],$B54,tbl_GLExpense[GL Date],E$19)</f>
        <v>202</v>
      </c>
      <c r="F54" s="4">
        <f>SUMIFS(tbl_GLExpense[Amount],tbl_GLExpense[GL Account],$B54,tbl_GLExpense[GL Date],F$19)</f>
        <v>354</v>
      </c>
      <c r="G54" s="4">
        <f>SUMIFS(tbl_GLExpense[Amount],tbl_GLExpense[GL Account],$B54,tbl_GLExpense[GL Date],G$19)</f>
        <v>218</v>
      </c>
      <c r="H54" s="4">
        <f>SUMIFS(tbl_GLExpense[Amount],tbl_GLExpense[GL Account],$B54,tbl_GLExpense[GL Date],H$19)</f>
        <v>76</v>
      </c>
      <c r="I54" s="4">
        <f>SUMIFS(tbl_GLExpense[Amount],tbl_GLExpense[GL Account],$B54,tbl_GLExpense[GL Date],I$19)</f>
        <v>729</v>
      </c>
      <c r="J54" s="4">
        <f>SUMIFS(tbl_GLExpense[Amount],tbl_GLExpense[GL Account],$B54,tbl_GLExpense[GL Date],J$19)</f>
        <v>365</v>
      </c>
      <c r="K54" s="4">
        <f>SUMIFS(tbl_GLExpense[Amount],tbl_GLExpense[GL Account],$B54,tbl_GLExpense[GL Date],K$19)</f>
        <v>536</v>
      </c>
      <c r="L54" s="4">
        <f>SUMIFS(tbl_GLExpense[Amount],tbl_GLExpense[GL Account],$B54,tbl_GLExpense[GL Date],L$19)</f>
        <v>675</v>
      </c>
      <c r="M54" s="4">
        <f>SUMIFS(tbl_GLExpense[Amount],tbl_GLExpense[GL Account],$B54,tbl_GLExpense[GL Date],M$19)</f>
        <v>555</v>
      </c>
      <c r="N54" s="4">
        <f>SUMIFS(tbl_GLExpense[Amount],tbl_GLExpense[GL Account],$B54,tbl_GLExpense[GL Date],N$19)</f>
        <v>770</v>
      </c>
      <c r="O54" s="4">
        <f>SUMIFS(tbl_GLExpense[Amount],tbl_GLExpense[GL Account],$B54,tbl_GLExpense[GL Date],O$19)</f>
        <v>543</v>
      </c>
      <c r="P54" s="4">
        <f t="shared" si="17"/>
        <v>5805</v>
      </c>
    </row>
    <row r="55" spans="2:16" x14ac:dyDescent="0.45">
      <c r="B55" s="22" cm="1">
        <f t="array" ref="B55">INDEX(tbl_ChartOfAccounts[Secondary GL Account Group],MATCH('12-Month Cash Flow'!C55,tbl_ChartOfAccounts[Description],0),0)</f>
        <v>3007</v>
      </c>
      <c r="C55" t="s">
        <v>47</v>
      </c>
      <c r="D55" s="4">
        <f>SUMIFS(tbl_GLExpense[Amount],tbl_GLExpense[GL Account],$B55,tbl_GLExpense[GL Date],D$19)</f>
        <v>840</v>
      </c>
      <c r="E55" s="4">
        <f>SUMIFS(tbl_GLExpense[Amount],tbl_GLExpense[GL Account],$B55,tbl_GLExpense[GL Date],E$19)</f>
        <v>31</v>
      </c>
      <c r="F55" s="4">
        <f>SUMIFS(tbl_GLExpense[Amount],tbl_GLExpense[GL Account],$B55,tbl_GLExpense[GL Date],F$19)</f>
        <v>560</v>
      </c>
      <c r="G55" s="4">
        <f>SUMIFS(tbl_GLExpense[Amount],tbl_GLExpense[GL Account],$B55,tbl_GLExpense[GL Date],G$19)</f>
        <v>14</v>
      </c>
      <c r="H55" s="4">
        <f>SUMIFS(tbl_GLExpense[Amount],tbl_GLExpense[GL Account],$B55,tbl_GLExpense[GL Date],H$19)</f>
        <v>278</v>
      </c>
      <c r="I55" s="4">
        <f>SUMIFS(tbl_GLExpense[Amount],tbl_GLExpense[GL Account],$B55,tbl_GLExpense[GL Date],I$19)</f>
        <v>323</v>
      </c>
      <c r="J55" s="4">
        <f>SUMIFS(tbl_GLExpense[Amount],tbl_GLExpense[GL Account],$B55,tbl_GLExpense[GL Date],J$19)</f>
        <v>221</v>
      </c>
      <c r="K55" s="4">
        <f>SUMIFS(tbl_GLExpense[Amount],tbl_GLExpense[GL Account],$B55,tbl_GLExpense[GL Date],K$19)</f>
        <v>15</v>
      </c>
      <c r="L55" s="4">
        <f>SUMIFS(tbl_GLExpense[Amount],tbl_GLExpense[GL Account],$B55,tbl_GLExpense[GL Date],L$19)</f>
        <v>17</v>
      </c>
      <c r="M55" s="4">
        <f>SUMIFS(tbl_GLExpense[Amount],tbl_GLExpense[GL Account],$B55,tbl_GLExpense[GL Date],M$19)</f>
        <v>529</v>
      </c>
      <c r="N55" s="4">
        <f>SUMIFS(tbl_GLExpense[Amount],tbl_GLExpense[GL Account],$B55,tbl_GLExpense[GL Date],N$19)</f>
        <v>319</v>
      </c>
      <c r="O55" s="4">
        <f>SUMIFS(tbl_GLExpense[Amount],tbl_GLExpense[GL Account],$B55,tbl_GLExpense[GL Date],O$19)</f>
        <v>22</v>
      </c>
      <c r="P55" s="4">
        <f t="shared" si="17"/>
        <v>3169</v>
      </c>
    </row>
    <row r="56" spans="2:16" x14ac:dyDescent="0.45">
      <c r="B56" s="22" cm="1">
        <f t="array" ref="B56">INDEX(tbl_ChartOfAccounts[Secondary GL Account Group],MATCH('12-Month Cash Flow'!C56,tbl_ChartOfAccounts[Description],0),0)</f>
        <v>3008</v>
      </c>
      <c r="C56" t="s">
        <v>48</v>
      </c>
      <c r="D56" s="4">
        <f>SUMIFS(tbl_GLExpense[Amount],tbl_GLExpense[GL Account],$B56,tbl_GLExpense[GL Date],D$19)</f>
        <v>511</v>
      </c>
      <c r="E56" s="4">
        <f>SUMIFS(tbl_GLExpense[Amount],tbl_GLExpense[GL Account],$B56,tbl_GLExpense[GL Date],E$19)</f>
        <v>865</v>
      </c>
      <c r="F56" s="4">
        <f>SUMIFS(tbl_GLExpense[Amount],tbl_GLExpense[GL Account],$B56,tbl_GLExpense[GL Date],F$19)</f>
        <v>887</v>
      </c>
      <c r="G56" s="4">
        <f>SUMIFS(tbl_GLExpense[Amount],tbl_GLExpense[GL Account],$B56,tbl_GLExpense[GL Date],G$19)</f>
        <v>245</v>
      </c>
      <c r="H56" s="4">
        <f>SUMIFS(tbl_GLExpense[Amount],tbl_GLExpense[GL Account],$B56,tbl_GLExpense[GL Date],H$19)</f>
        <v>407</v>
      </c>
      <c r="I56" s="4">
        <f>SUMIFS(tbl_GLExpense[Amount],tbl_GLExpense[GL Account],$B56,tbl_GLExpense[GL Date],I$19)</f>
        <v>780</v>
      </c>
      <c r="J56" s="4">
        <f>SUMIFS(tbl_GLExpense[Amount],tbl_GLExpense[GL Account],$B56,tbl_GLExpense[GL Date],J$19)</f>
        <v>804</v>
      </c>
      <c r="K56" s="4">
        <f>SUMIFS(tbl_GLExpense[Amount],tbl_GLExpense[GL Account],$B56,tbl_GLExpense[GL Date],K$19)</f>
        <v>483</v>
      </c>
      <c r="L56" s="4">
        <f>SUMIFS(tbl_GLExpense[Amount],tbl_GLExpense[GL Account],$B56,tbl_GLExpense[GL Date],L$19)</f>
        <v>492</v>
      </c>
      <c r="M56" s="4">
        <f>SUMIFS(tbl_GLExpense[Amount],tbl_GLExpense[GL Account],$B56,tbl_GLExpense[GL Date],M$19)</f>
        <v>505</v>
      </c>
      <c r="N56" s="4">
        <f>SUMIFS(tbl_GLExpense[Amount],tbl_GLExpense[GL Account],$B56,tbl_GLExpense[GL Date],N$19)</f>
        <v>515</v>
      </c>
      <c r="O56" s="4">
        <f>SUMIFS(tbl_GLExpense[Amount],tbl_GLExpense[GL Account],$B56,tbl_GLExpense[GL Date],O$19)</f>
        <v>434</v>
      </c>
      <c r="P56" s="4">
        <f t="shared" si="17"/>
        <v>6928</v>
      </c>
    </row>
    <row r="57" spans="2:16" x14ac:dyDescent="0.45">
      <c r="B57" s="22" cm="1">
        <f t="array" ref="B57">INDEX(tbl_ChartOfAccounts[Secondary GL Account Group],MATCH('12-Month Cash Flow'!C57,tbl_ChartOfAccounts[Description],0),0)</f>
        <v>3009</v>
      </c>
      <c r="C57" t="s">
        <v>49</v>
      </c>
      <c r="D57" s="4">
        <f>SUMIFS(tbl_GLExpense[Amount],tbl_GLExpense[GL Account],$B57,tbl_GLExpense[GL Date],D$19)</f>
        <v>913</v>
      </c>
      <c r="E57" s="4">
        <f>SUMIFS(tbl_GLExpense[Amount],tbl_GLExpense[GL Account],$B57,tbl_GLExpense[GL Date],E$19)</f>
        <v>704</v>
      </c>
      <c r="F57" s="4">
        <f>SUMIFS(tbl_GLExpense[Amount],tbl_GLExpense[GL Account],$B57,tbl_GLExpense[GL Date],F$19)</f>
        <v>645</v>
      </c>
      <c r="G57" s="4">
        <f>SUMIFS(tbl_GLExpense[Amount],tbl_GLExpense[GL Account],$B57,tbl_GLExpense[GL Date],G$19)</f>
        <v>553</v>
      </c>
      <c r="H57" s="4">
        <f>SUMIFS(tbl_GLExpense[Amount],tbl_GLExpense[GL Account],$B57,tbl_GLExpense[GL Date],H$19)</f>
        <v>279</v>
      </c>
      <c r="I57" s="4">
        <f>SUMIFS(tbl_GLExpense[Amount],tbl_GLExpense[GL Account],$B57,tbl_GLExpense[GL Date],I$19)</f>
        <v>90</v>
      </c>
      <c r="J57" s="4">
        <f>SUMIFS(tbl_GLExpense[Amount],tbl_GLExpense[GL Account],$B57,tbl_GLExpense[GL Date],J$19)</f>
        <v>88</v>
      </c>
      <c r="K57" s="4">
        <f>SUMIFS(tbl_GLExpense[Amount],tbl_GLExpense[GL Account],$B57,tbl_GLExpense[GL Date],K$19)</f>
        <v>802</v>
      </c>
      <c r="L57" s="4">
        <f>SUMIFS(tbl_GLExpense[Amount],tbl_GLExpense[GL Account],$B57,tbl_GLExpense[GL Date],L$19)</f>
        <v>475</v>
      </c>
      <c r="M57" s="4">
        <f>SUMIFS(tbl_GLExpense[Amount],tbl_GLExpense[GL Account],$B57,tbl_GLExpense[GL Date],M$19)</f>
        <v>972</v>
      </c>
      <c r="N57" s="4">
        <f>SUMIFS(tbl_GLExpense[Amount],tbl_GLExpense[GL Account],$B57,tbl_GLExpense[GL Date],N$19)</f>
        <v>686</v>
      </c>
      <c r="O57" s="4">
        <f>SUMIFS(tbl_GLExpense[Amount],tbl_GLExpense[GL Account],$B57,tbl_GLExpense[GL Date],O$19)</f>
        <v>959</v>
      </c>
      <c r="P57" s="4">
        <f t="shared" si="17"/>
        <v>7166</v>
      </c>
    </row>
    <row r="58" spans="2:16" ht="14.65" thickBot="1" x14ac:dyDescent="0.5">
      <c r="B58" s="24"/>
      <c r="C58" s="12" t="s">
        <v>50</v>
      </c>
      <c r="D58" s="13">
        <f t="shared" ref="D58:P58" si="18">SUM(D49:D57)</f>
        <v>5213</v>
      </c>
      <c r="E58" s="13">
        <f t="shared" si="18"/>
        <v>4156</v>
      </c>
      <c r="F58" s="13">
        <f t="shared" si="18"/>
        <v>4921</v>
      </c>
      <c r="G58" s="13">
        <f t="shared" si="18"/>
        <v>2162</v>
      </c>
      <c r="H58" s="13">
        <f t="shared" si="18"/>
        <v>3965</v>
      </c>
      <c r="I58" s="13">
        <f t="shared" si="18"/>
        <v>4098</v>
      </c>
      <c r="J58" s="13">
        <f t="shared" si="18"/>
        <v>3024</v>
      </c>
      <c r="K58" s="13">
        <f t="shared" si="18"/>
        <v>4664</v>
      </c>
      <c r="L58" s="13">
        <f t="shared" si="18"/>
        <v>3091</v>
      </c>
      <c r="M58" s="13">
        <f t="shared" si="18"/>
        <v>5025</v>
      </c>
      <c r="N58" s="13">
        <f t="shared" si="18"/>
        <v>5030</v>
      </c>
      <c r="O58" s="13">
        <f t="shared" si="18"/>
        <v>4067</v>
      </c>
      <c r="P58" s="13">
        <f t="shared" si="18"/>
        <v>49416</v>
      </c>
    </row>
    <row r="59" spans="2:16" ht="14.65" thickTop="1" x14ac:dyDescent="0.45"/>
    <row r="60" spans="2:16" ht="14.65" thickBot="1" x14ac:dyDescent="0.5">
      <c r="B60" s="23" t="s">
        <v>81</v>
      </c>
      <c r="C60" s="2" t="s">
        <v>51</v>
      </c>
      <c r="D60" s="21">
        <f t="shared" ref="D60:P60" si="19">D6</f>
        <v>43101</v>
      </c>
      <c r="E60" s="21">
        <f t="shared" si="19"/>
        <v>43132</v>
      </c>
      <c r="F60" s="21">
        <f t="shared" si="19"/>
        <v>43160</v>
      </c>
      <c r="G60" s="21">
        <f t="shared" si="19"/>
        <v>43191</v>
      </c>
      <c r="H60" s="21">
        <f t="shared" si="19"/>
        <v>43221</v>
      </c>
      <c r="I60" s="21">
        <f t="shared" si="19"/>
        <v>43252</v>
      </c>
      <c r="J60" s="21">
        <f t="shared" si="19"/>
        <v>43282</v>
      </c>
      <c r="K60" s="21">
        <f t="shared" si="19"/>
        <v>43313</v>
      </c>
      <c r="L60" s="21">
        <f t="shared" si="19"/>
        <v>43344</v>
      </c>
      <c r="M60" s="21">
        <f t="shared" si="19"/>
        <v>43374</v>
      </c>
      <c r="N60" s="21">
        <f t="shared" si="19"/>
        <v>43405</v>
      </c>
      <c r="O60" s="21">
        <f t="shared" si="19"/>
        <v>43435</v>
      </c>
      <c r="P60" s="21" t="str">
        <f t="shared" si="19"/>
        <v>Total</v>
      </c>
    </row>
    <row r="61" spans="2:16" x14ac:dyDescent="0.45">
      <c r="B61" s="22" cm="1">
        <f t="array" ref="B61">INDEX(tbl_ChartOfAccounts[Secondary GL Account Group],MATCH('12-Month Cash Flow'!C61,tbl_ChartOfAccounts[Description],0),0)</f>
        <v>4001</v>
      </c>
      <c r="C61" t="s">
        <v>52</v>
      </c>
      <c r="D61" s="4">
        <f>SUMIFS(tbl_GLExpense[Amount],tbl_GLExpense[GL Account],$B61,tbl_GLExpense[GL Date],D$19)</f>
        <v>93</v>
      </c>
      <c r="E61" s="4">
        <f>SUMIFS(tbl_GLExpense[Amount],tbl_GLExpense[GL Account],$B61,tbl_GLExpense[GL Date],E$19)</f>
        <v>730</v>
      </c>
      <c r="F61" s="4">
        <f>SUMIFS(tbl_GLExpense[Amount],tbl_GLExpense[GL Account],$B61,tbl_GLExpense[GL Date],F$19)</f>
        <v>273</v>
      </c>
      <c r="G61" s="4">
        <f>SUMIFS(tbl_GLExpense[Amount],tbl_GLExpense[GL Account],$B61,tbl_GLExpense[GL Date],G$19)</f>
        <v>255</v>
      </c>
      <c r="H61" s="4">
        <f>SUMIFS(tbl_GLExpense[Amount],tbl_GLExpense[GL Account],$B61,tbl_GLExpense[GL Date],H$19)</f>
        <v>140</v>
      </c>
      <c r="I61" s="4">
        <f>SUMIFS(tbl_GLExpense[Amount],tbl_GLExpense[GL Account],$B61,tbl_GLExpense[GL Date],I$19)</f>
        <v>209</v>
      </c>
      <c r="J61" s="4">
        <f>SUMIFS(tbl_GLExpense[Amount],tbl_GLExpense[GL Account],$B61,tbl_GLExpense[GL Date],J$19)</f>
        <v>712</v>
      </c>
      <c r="K61" s="4">
        <f>SUMIFS(tbl_GLExpense[Amount],tbl_GLExpense[GL Account],$B61,tbl_GLExpense[GL Date],K$19)</f>
        <v>153</v>
      </c>
      <c r="L61" s="4">
        <f>SUMIFS(tbl_GLExpense[Amount],tbl_GLExpense[GL Account],$B61,tbl_GLExpense[GL Date],L$19)</f>
        <v>587</v>
      </c>
      <c r="M61" s="4">
        <f>SUMIFS(tbl_GLExpense[Amount],tbl_GLExpense[GL Account],$B61,tbl_GLExpense[GL Date],M$19)</f>
        <v>4</v>
      </c>
      <c r="N61" s="4">
        <f>SUMIFS(tbl_GLExpense[Amount],tbl_GLExpense[GL Account],$B61,tbl_GLExpense[GL Date],N$19)</f>
        <v>863</v>
      </c>
      <c r="O61" s="4">
        <f>SUMIFS(tbl_GLExpense[Amount],tbl_GLExpense[GL Account],$B61,tbl_GLExpense[GL Date],O$19)</f>
        <v>553</v>
      </c>
      <c r="P61" s="4">
        <f>SUM(D61:O61)</f>
        <v>4572</v>
      </c>
    </row>
    <row r="62" spans="2:16" x14ac:dyDescent="0.45">
      <c r="B62" s="22" cm="1">
        <f t="array" ref="B62">INDEX(tbl_ChartOfAccounts[Secondary GL Account Group],MATCH('12-Month Cash Flow'!C62,tbl_ChartOfAccounts[Description],0),0)</f>
        <v>4002</v>
      </c>
      <c r="C62" t="s">
        <v>53</v>
      </c>
      <c r="D62" s="4">
        <f>SUMIFS(tbl_GLExpense[Amount],tbl_GLExpense[GL Account],$B62,tbl_GLExpense[GL Date],D$19)</f>
        <v>514</v>
      </c>
      <c r="E62" s="4">
        <f>SUMIFS(tbl_GLExpense[Amount],tbl_GLExpense[GL Account],$B62,tbl_GLExpense[GL Date],E$19)</f>
        <v>813</v>
      </c>
      <c r="F62" s="4">
        <f>SUMIFS(tbl_GLExpense[Amount],tbl_GLExpense[GL Account],$B62,tbl_GLExpense[GL Date],F$19)</f>
        <v>446</v>
      </c>
      <c r="G62" s="4">
        <f>SUMIFS(tbl_GLExpense[Amount],tbl_GLExpense[GL Account],$B62,tbl_GLExpense[GL Date],G$19)</f>
        <v>204</v>
      </c>
      <c r="H62" s="4">
        <f>SUMIFS(tbl_GLExpense[Amount],tbl_GLExpense[GL Account],$B62,tbl_GLExpense[GL Date],H$19)</f>
        <v>670</v>
      </c>
      <c r="I62" s="4">
        <f>SUMIFS(tbl_GLExpense[Amount],tbl_GLExpense[GL Account],$B62,tbl_GLExpense[GL Date],I$19)</f>
        <v>761</v>
      </c>
      <c r="J62" s="4">
        <f>SUMIFS(tbl_GLExpense[Amount],tbl_GLExpense[GL Account],$B62,tbl_GLExpense[GL Date],J$19)</f>
        <v>374</v>
      </c>
      <c r="K62" s="4">
        <f>SUMIFS(tbl_GLExpense[Amount],tbl_GLExpense[GL Account],$B62,tbl_GLExpense[GL Date],K$19)</f>
        <v>83</v>
      </c>
      <c r="L62" s="4">
        <f>SUMIFS(tbl_GLExpense[Amount],tbl_GLExpense[GL Account],$B62,tbl_GLExpense[GL Date],L$19)</f>
        <v>307</v>
      </c>
      <c r="M62" s="4">
        <f>SUMIFS(tbl_GLExpense[Amount],tbl_GLExpense[GL Account],$B62,tbl_GLExpense[GL Date],M$19)</f>
        <v>702</v>
      </c>
      <c r="N62" s="4">
        <f>SUMIFS(tbl_GLExpense[Amount],tbl_GLExpense[GL Account],$B62,tbl_GLExpense[GL Date],N$19)</f>
        <v>104</v>
      </c>
      <c r="O62" s="4">
        <f>SUMIFS(tbl_GLExpense[Amount],tbl_GLExpense[GL Account],$B62,tbl_GLExpense[GL Date],O$19)</f>
        <v>21</v>
      </c>
      <c r="P62" s="4">
        <f t="shared" ref="P62:P63" si="20">SUM(D62:O62)</f>
        <v>4999</v>
      </c>
    </row>
    <row r="63" spans="2:16" x14ac:dyDescent="0.45">
      <c r="B63" s="22" cm="1">
        <f t="array" ref="B63">INDEX(tbl_ChartOfAccounts[Secondary GL Account Group],MATCH('12-Month Cash Flow'!C63,tbl_ChartOfAccounts[Description],0),0)</f>
        <v>4003</v>
      </c>
      <c r="C63" t="s">
        <v>54</v>
      </c>
      <c r="D63" s="4">
        <f>SUMIFS(tbl_GLExpense[Amount],tbl_GLExpense[GL Account],$B63,tbl_GLExpense[GL Date],D$19)</f>
        <v>514</v>
      </c>
      <c r="E63" s="4">
        <f>SUMIFS(tbl_GLExpense[Amount],tbl_GLExpense[GL Account],$B63,tbl_GLExpense[GL Date],E$19)</f>
        <v>911</v>
      </c>
      <c r="F63" s="4">
        <f>SUMIFS(tbl_GLExpense[Amount],tbl_GLExpense[GL Account],$B63,tbl_GLExpense[GL Date],F$19)</f>
        <v>234</v>
      </c>
      <c r="G63" s="4">
        <f>SUMIFS(tbl_GLExpense[Amount],tbl_GLExpense[GL Account],$B63,tbl_GLExpense[GL Date],G$19)</f>
        <v>115</v>
      </c>
      <c r="H63" s="4">
        <f>SUMIFS(tbl_GLExpense[Amount],tbl_GLExpense[GL Account],$B63,tbl_GLExpense[GL Date],H$19)</f>
        <v>140</v>
      </c>
      <c r="I63" s="4">
        <f>SUMIFS(tbl_GLExpense[Amount],tbl_GLExpense[GL Account],$B63,tbl_GLExpense[GL Date],I$19)</f>
        <v>321</v>
      </c>
      <c r="J63" s="4">
        <f>SUMIFS(tbl_GLExpense[Amount],tbl_GLExpense[GL Account],$B63,tbl_GLExpense[GL Date],J$19)</f>
        <v>700</v>
      </c>
      <c r="K63" s="4">
        <f>SUMIFS(tbl_GLExpense[Amount],tbl_GLExpense[GL Account],$B63,tbl_GLExpense[GL Date],K$19)</f>
        <v>188</v>
      </c>
      <c r="L63" s="4">
        <f>SUMIFS(tbl_GLExpense[Amount],tbl_GLExpense[GL Account],$B63,tbl_GLExpense[GL Date],L$19)</f>
        <v>565</v>
      </c>
      <c r="M63" s="4">
        <f>SUMIFS(tbl_GLExpense[Amount],tbl_GLExpense[GL Account],$B63,tbl_GLExpense[GL Date],M$19)</f>
        <v>931</v>
      </c>
      <c r="N63" s="4">
        <f>SUMIFS(tbl_GLExpense[Amount],tbl_GLExpense[GL Account],$B63,tbl_GLExpense[GL Date],N$19)</f>
        <v>327</v>
      </c>
      <c r="O63" s="4">
        <f>SUMIFS(tbl_GLExpense[Amount],tbl_GLExpense[GL Account],$B63,tbl_GLExpense[GL Date],O$19)</f>
        <v>356</v>
      </c>
      <c r="P63" s="4">
        <f t="shared" si="20"/>
        <v>5302</v>
      </c>
    </row>
    <row r="64" spans="2:16" ht="14.65" thickBot="1" x14ac:dyDescent="0.5">
      <c r="B64" s="24"/>
      <c r="C64" s="12" t="s">
        <v>55</v>
      </c>
      <c r="D64" s="13">
        <f t="shared" ref="D64:O64" si="21">SUM(D61:D63)</f>
        <v>1121</v>
      </c>
      <c r="E64" s="13">
        <f t="shared" si="21"/>
        <v>2454</v>
      </c>
      <c r="F64" s="13">
        <f t="shared" si="21"/>
        <v>953</v>
      </c>
      <c r="G64" s="13">
        <f t="shared" si="21"/>
        <v>574</v>
      </c>
      <c r="H64" s="13">
        <f t="shared" si="21"/>
        <v>950</v>
      </c>
      <c r="I64" s="13">
        <f t="shared" si="21"/>
        <v>1291</v>
      </c>
      <c r="J64" s="13">
        <f t="shared" si="21"/>
        <v>1786</v>
      </c>
      <c r="K64" s="13">
        <f t="shared" si="21"/>
        <v>424</v>
      </c>
      <c r="L64" s="13">
        <f t="shared" si="21"/>
        <v>1459</v>
      </c>
      <c r="M64" s="13">
        <f t="shared" si="21"/>
        <v>1637</v>
      </c>
      <c r="N64" s="13">
        <f t="shared" si="21"/>
        <v>1294</v>
      </c>
      <c r="O64" s="13">
        <f t="shared" si="21"/>
        <v>930</v>
      </c>
      <c r="P64" s="13">
        <f t="shared" ref="P64" si="22">SUM(P60:P63)</f>
        <v>14873</v>
      </c>
    </row>
    <row r="65" spans="2:16" ht="14.65" thickTop="1" x14ac:dyDescent="0.45"/>
    <row r="66" spans="2:16" ht="14.65" thickBot="1" x14ac:dyDescent="0.5">
      <c r="B66" s="23" t="s">
        <v>81</v>
      </c>
      <c r="C66" s="2" t="s">
        <v>56</v>
      </c>
      <c r="D66" s="21">
        <f t="shared" ref="D66:P66" si="23">D6</f>
        <v>43101</v>
      </c>
      <c r="E66" s="21">
        <f t="shared" si="23"/>
        <v>43132</v>
      </c>
      <c r="F66" s="21">
        <f t="shared" si="23"/>
        <v>43160</v>
      </c>
      <c r="G66" s="21">
        <f t="shared" si="23"/>
        <v>43191</v>
      </c>
      <c r="H66" s="21">
        <f t="shared" si="23"/>
        <v>43221</v>
      </c>
      <c r="I66" s="21">
        <f t="shared" si="23"/>
        <v>43252</v>
      </c>
      <c r="J66" s="21">
        <f t="shared" si="23"/>
        <v>43282</v>
      </c>
      <c r="K66" s="21">
        <f t="shared" si="23"/>
        <v>43313</v>
      </c>
      <c r="L66" s="21">
        <f t="shared" si="23"/>
        <v>43344</v>
      </c>
      <c r="M66" s="21">
        <f t="shared" si="23"/>
        <v>43374</v>
      </c>
      <c r="N66" s="21">
        <f t="shared" si="23"/>
        <v>43405</v>
      </c>
      <c r="O66" s="21">
        <f t="shared" si="23"/>
        <v>43435</v>
      </c>
      <c r="P66" s="21" t="str">
        <f t="shared" si="23"/>
        <v>Total</v>
      </c>
    </row>
    <row r="67" spans="2:16" x14ac:dyDescent="0.45">
      <c r="B67" s="22" cm="1">
        <f t="array" ref="B67">INDEX(tbl_ChartOfAccounts[Secondary GL Account Group],MATCH('12-Month Cash Flow'!C67,tbl_ChartOfAccounts[Description],0),0)</f>
        <v>5001</v>
      </c>
      <c r="C67" t="s">
        <v>57</v>
      </c>
      <c r="D67" s="4">
        <f>SUMIFS(tbl_GLExpense[Amount],tbl_GLExpense[GL Account],$B67,tbl_GLExpense[GL Date],D$19)</f>
        <v>41283</v>
      </c>
      <c r="E67" s="4">
        <f>SUMIFS(tbl_GLExpense[Amount],tbl_GLExpense[GL Account],$B67,tbl_GLExpense[GL Date],E$19)</f>
        <v>45441</v>
      </c>
      <c r="F67" s="4">
        <f>SUMIFS(tbl_GLExpense[Amount],tbl_GLExpense[GL Account],$B67,tbl_GLExpense[GL Date],F$19)</f>
        <v>38674</v>
      </c>
      <c r="G67" s="4">
        <f>SUMIFS(tbl_GLExpense[Amount],tbl_GLExpense[GL Account],$B67,tbl_GLExpense[GL Date],G$19)</f>
        <v>4200</v>
      </c>
      <c r="H67" s="4">
        <f>SUMIFS(tbl_GLExpense[Amount],tbl_GLExpense[GL Account],$B67,tbl_GLExpense[GL Date],H$19)</f>
        <v>26227</v>
      </c>
      <c r="I67" s="4">
        <f>SUMIFS(tbl_GLExpense[Amount],tbl_GLExpense[GL Account],$B67,tbl_GLExpense[GL Date],I$19)</f>
        <v>94048</v>
      </c>
      <c r="J67" s="4">
        <f>SUMIFS(tbl_GLExpense[Amount],tbl_GLExpense[GL Account],$B67,tbl_GLExpense[GL Date],J$19)</f>
        <v>60878</v>
      </c>
      <c r="K67" s="4">
        <f>SUMIFS(tbl_GLExpense[Amount],tbl_GLExpense[GL Account],$B67,tbl_GLExpense[GL Date],K$19)</f>
        <v>16040</v>
      </c>
      <c r="L67" s="4">
        <f>SUMIFS(tbl_GLExpense[Amount],tbl_GLExpense[GL Account],$B67,tbl_GLExpense[GL Date],L$19)</f>
        <v>94406</v>
      </c>
      <c r="M67" s="4">
        <f>SUMIFS(tbl_GLExpense[Amount],tbl_GLExpense[GL Account],$B67,tbl_GLExpense[GL Date],M$19)</f>
        <v>7584</v>
      </c>
      <c r="N67" s="4">
        <f>SUMIFS(tbl_GLExpense[Amount],tbl_GLExpense[GL Account],$B67,tbl_GLExpense[GL Date],N$19)</f>
        <v>96825</v>
      </c>
      <c r="O67" s="4">
        <f>SUMIFS(tbl_GLExpense[Amount],tbl_GLExpense[GL Account],$B67,tbl_GLExpense[GL Date],O$19)</f>
        <v>85994</v>
      </c>
      <c r="P67" s="4">
        <f t="shared" ref="P67:P75" si="24">SUM(D67:O67)</f>
        <v>611600</v>
      </c>
    </row>
    <row r="68" spans="2:16" x14ac:dyDescent="0.45">
      <c r="B68" s="22" cm="1">
        <f t="array" ref="B68">INDEX(tbl_ChartOfAccounts[Secondary GL Account Group],MATCH('12-Month Cash Flow'!C68,tbl_ChartOfAccounts[Description],0),0)</f>
        <v>5002</v>
      </c>
      <c r="C68" t="s">
        <v>58</v>
      </c>
      <c r="D68" s="4">
        <f>SUMIFS(tbl_GLExpense[Amount],tbl_GLExpense[GL Account],$B68,tbl_GLExpense[GL Date],D$19)</f>
        <v>342</v>
      </c>
      <c r="E68" s="4">
        <f>SUMIFS(tbl_GLExpense[Amount],tbl_GLExpense[GL Account],$B68,tbl_GLExpense[GL Date],E$19)</f>
        <v>10988</v>
      </c>
      <c r="F68" s="4">
        <f>SUMIFS(tbl_GLExpense[Amount],tbl_GLExpense[GL Account],$B68,tbl_GLExpense[GL Date],F$19)</f>
        <v>95042</v>
      </c>
      <c r="G68" s="4">
        <f>SUMIFS(tbl_GLExpense[Amount],tbl_GLExpense[GL Account],$B68,tbl_GLExpense[GL Date],G$19)</f>
        <v>97088</v>
      </c>
      <c r="H68" s="4">
        <f>SUMIFS(tbl_GLExpense[Amount],tbl_GLExpense[GL Account],$B68,tbl_GLExpense[GL Date],H$19)</f>
        <v>59143</v>
      </c>
      <c r="I68" s="4">
        <f>SUMIFS(tbl_GLExpense[Amount],tbl_GLExpense[GL Account],$B68,tbl_GLExpense[GL Date],I$19)</f>
        <v>84</v>
      </c>
      <c r="J68" s="4">
        <f>SUMIFS(tbl_GLExpense[Amount],tbl_GLExpense[GL Account],$B68,tbl_GLExpense[GL Date],J$19)</f>
        <v>15899</v>
      </c>
      <c r="K68" s="4">
        <f>SUMIFS(tbl_GLExpense[Amount],tbl_GLExpense[GL Account],$B68,tbl_GLExpense[GL Date],K$19)</f>
        <v>57619</v>
      </c>
      <c r="L68" s="4">
        <f>SUMIFS(tbl_GLExpense[Amount],tbl_GLExpense[GL Account],$B68,tbl_GLExpense[GL Date],L$19)</f>
        <v>74242</v>
      </c>
      <c r="M68" s="4">
        <f>SUMIFS(tbl_GLExpense[Amount],tbl_GLExpense[GL Account],$B68,tbl_GLExpense[GL Date],M$19)</f>
        <v>92138</v>
      </c>
      <c r="N68" s="4">
        <f>SUMIFS(tbl_GLExpense[Amount],tbl_GLExpense[GL Account],$B68,tbl_GLExpense[GL Date],N$19)</f>
        <v>21972</v>
      </c>
      <c r="O68" s="4">
        <f>SUMIFS(tbl_GLExpense[Amount],tbl_GLExpense[GL Account],$B68,tbl_GLExpense[GL Date],O$19)</f>
        <v>99375</v>
      </c>
      <c r="P68" s="4">
        <f>SUM(D68:O68)</f>
        <v>623932</v>
      </c>
    </row>
    <row r="69" spans="2:16" x14ac:dyDescent="0.45">
      <c r="B69" s="22" cm="1">
        <f t="array" ref="B69">INDEX(tbl_ChartOfAccounts[Secondary GL Account Group],MATCH('12-Month Cash Flow'!C69,tbl_ChartOfAccounts[Description],0),0)</f>
        <v>5003</v>
      </c>
      <c r="C69" t="s">
        <v>59</v>
      </c>
      <c r="D69" s="4">
        <f>SUMIFS(tbl_GLExpense[Amount],tbl_GLExpense[GL Account],$B69,tbl_GLExpense[GL Date],D$19)</f>
        <v>83592</v>
      </c>
      <c r="E69" s="4">
        <f>SUMIFS(tbl_GLExpense[Amount],tbl_GLExpense[GL Account],$B69,tbl_GLExpense[GL Date],E$19)</f>
        <v>958</v>
      </c>
      <c r="F69" s="4">
        <f>SUMIFS(tbl_GLExpense[Amount],tbl_GLExpense[GL Account],$B69,tbl_GLExpense[GL Date],F$19)</f>
        <v>50491</v>
      </c>
      <c r="G69" s="4">
        <f>SUMIFS(tbl_GLExpense[Amount],tbl_GLExpense[GL Account],$B69,tbl_GLExpense[GL Date],G$19)</f>
        <v>7657</v>
      </c>
      <c r="H69" s="4">
        <f>SUMIFS(tbl_GLExpense[Amount],tbl_GLExpense[GL Account],$B69,tbl_GLExpense[GL Date],H$19)</f>
        <v>75372</v>
      </c>
      <c r="I69" s="4">
        <f>SUMIFS(tbl_GLExpense[Amount],tbl_GLExpense[GL Account],$B69,tbl_GLExpense[GL Date],I$19)</f>
        <v>91057</v>
      </c>
      <c r="J69" s="4">
        <f>SUMIFS(tbl_GLExpense[Amount],tbl_GLExpense[GL Account],$B69,tbl_GLExpense[GL Date],J$19)</f>
        <v>68882</v>
      </c>
      <c r="K69" s="4">
        <f>SUMIFS(tbl_GLExpense[Amount],tbl_GLExpense[GL Account],$B69,tbl_GLExpense[GL Date],K$19)</f>
        <v>23967</v>
      </c>
      <c r="L69" s="4">
        <f>SUMIFS(tbl_GLExpense[Amount],tbl_GLExpense[GL Account],$B69,tbl_GLExpense[GL Date],L$19)</f>
        <v>42046</v>
      </c>
      <c r="M69" s="4">
        <f>SUMIFS(tbl_GLExpense[Amount],tbl_GLExpense[GL Account],$B69,tbl_GLExpense[GL Date],M$19)</f>
        <v>34545</v>
      </c>
      <c r="N69" s="4">
        <f>SUMIFS(tbl_GLExpense[Amount],tbl_GLExpense[GL Account],$B69,tbl_GLExpense[GL Date],N$19)</f>
        <v>25882</v>
      </c>
      <c r="O69" s="4">
        <f>SUMIFS(tbl_GLExpense[Amount],tbl_GLExpense[GL Account],$B69,tbl_GLExpense[GL Date],O$19)</f>
        <v>21123</v>
      </c>
      <c r="P69" s="4">
        <f t="shared" si="24"/>
        <v>525572</v>
      </c>
    </row>
    <row r="70" spans="2:16" x14ac:dyDescent="0.45">
      <c r="B70" s="22" cm="1">
        <f t="array" ref="B70">INDEX(tbl_ChartOfAccounts[Secondary GL Account Group],MATCH('12-Month Cash Flow'!C70,tbl_ChartOfAccounts[Description],0),0)</f>
        <v>5004</v>
      </c>
      <c r="C70" t="s">
        <v>60</v>
      </c>
      <c r="D70" s="4">
        <f>SUMIFS(tbl_GLExpense[Amount],tbl_GLExpense[GL Account],$B70,tbl_GLExpense[GL Date],D$19)</f>
        <v>42533</v>
      </c>
      <c r="E70" s="4">
        <f>SUMIFS(tbl_GLExpense[Amount],tbl_GLExpense[GL Account],$B70,tbl_GLExpense[GL Date],E$19)</f>
        <v>48483</v>
      </c>
      <c r="F70" s="4">
        <f>SUMIFS(tbl_GLExpense[Amount],tbl_GLExpense[GL Account],$B70,tbl_GLExpense[GL Date],F$19)</f>
        <v>40741</v>
      </c>
      <c r="G70" s="4">
        <f>SUMIFS(tbl_GLExpense[Amount],tbl_GLExpense[GL Account],$B70,tbl_GLExpense[GL Date],G$19)</f>
        <v>42860</v>
      </c>
      <c r="H70" s="4">
        <f>SUMIFS(tbl_GLExpense[Amount],tbl_GLExpense[GL Account],$B70,tbl_GLExpense[GL Date],H$19)</f>
        <v>46074</v>
      </c>
      <c r="I70" s="4">
        <f>SUMIFS(tbl_GLExpense[Amount],tbl_GLExpense[GL Account],$B70,tbl_GLExpense[GL Date],I$19)</f>
        <v>73465</v>
      </c>
      <c r="J70" s="4">
        <f>SUMIFS(tbl_GLExpense[Amount],tbl_GLExpense[GL Account],$B70,tbl_GLExpense[GL Date],J$19)</f>
        <v>92078</v>
      </c>
      <c r="K70" s="4">
        <f>SUMIFS(tbl_GLExpense[Amount],tbl_GLExpense[GL Account],$B70,tbl_GLExpense[GL Date],K$19)</f>
        <v>46031</v>
      </c>
      <c r="L70" s="4">
        <f>SUMIFS(tbl_GLExpense[Amount],tbl_GLExpense[GL Account],$B70,tbl_GLExpense[GL Date],L$19)</f>
        <v>13914</v>
      </c>
      <c r="M70" s="4">
        <f>SUMIFS(tbl_GLExpense[Amount],tbl_GLExpense[GL Account],$B70,tbl_GLExpense[GL Date],M$19)</f>
        <v>28649</v>
      </c>
      <c r="N70" s="4">
        <f>SUMIFS(tbl_GLExpense[Amount],tbl_GLExpense[GL Account],$B70,tbl_GLExpense[GL Date],N$19)</f>
        <v>12458</v>
      </c>
      <c r="O70" s="4">
        <f>SUMIFS(tbl_GLExpense[Amount],tbl_GLExpense[GL Account],$B70,tbl_GLExpense[GL Date],O$19)</f>
        <v>7726</v>
      </c>
      <c r="P70" s="4">
        <f t="shared" si="24"/>
        <v>495012</v>
      </c>
    </row>
    <row r="71" spans="2:16" x14ac:dyDescent="0.45">
      <c r="B71" s="22" cm="1">
        <f t="array" ref="B71">INDEX(tbl_ChartOfAccounts[Secondary GL Account Group],MATCH('12-Month Cash Flow'!C71,tbl_ChartOfAccounts[Description],0),0)</f>
        <v>5005</v>
      </c>
      <c r="C71" t="s">
        <v>61</v>
      </c>
      <c r="D71" s="4">
        <f>SUMIFS(tbl_GLExpense[Amount],tbl_GLExpense[GL Account],$B71,tbl_GLExpense[GL Date],D$19)</f>
        <v>16856</v>
      </c>
      <c r="E71" s="4">
        <f>SUMIFS(tbl_GLExpense[Amount],tbl_GLExpense[GL Account],$B71,tbl_GLExpense[GL Date],E$19)</f>
        <v>83432</v>
      </c>
      <c r="F71" s="4">
        <f>SUMIFS(tbl_GLExpense[Amount],tbl_GLExpense[GL Account],$B71,tbl_GLExpense[GL Date],F$19)</f>
        <v>95985</v>
      </c>
      <c r="G71" s="4">
        <f>SUMIFS(tbl_GLExpense[Amount],tbl_GLExpense[GL Account],$B71,tbl_GLExpense[GL Date],G$19)</f>
        <v>94991</v>
      </c>
      <c r="H71" s="4">
        <f>SUMIFS(tbl_GLExpense[Amount],tbl_GLExpense[GL Account],$B71,tbl_GLExpense[GL Date],H$19)</f>
        <v>23527</v>
      </c>
      <c r="I71" s="4">
        <f>SUMIFS(tbl_GLExpense[Amount],tbl_GLExpense[GL Account],$B71,tbl_GLExpense[GL Date],I$19)</f>
        <v>66014</v>
      </c>
      <c r="J71" s="4">
        <f>SUMIFS(tbl_GLExpense[Amount],tbl_GLExpense[GL Account],$B71,tbl_GLExpense[GL Date],J$19)</f>
        <v>86047</v>
      </c>
      <c r="K71" s="4">
        <f>SUMIFS(tbl_GLExpense[Amount],tbl_GLExpense[GL Account],$B71,tbl_GLExpense[GL Date],K$19)</f>
        <v>44565</v>
      </c>
      <c r="L71" s="4">
        <f>SUMIFS(tbl_GLExpense[Amount],tbl_GLExpense[GL Account],$B71,tbl_GLExpense[GL Date],L$19)</f>
        <v>38265</v>
      </c>
      <c r="M71" s="4">
        <f>SUMIFS(tbl_GLExpense[Amount],tbl_GLExpense[GL Account],$B71,tbl_GLExpense[GL Date],M$19)</f>
        <v>89289</v>
      </c>
      <c r="N71" s="4">
        <f>SUMIFS(tbl_GLExpense[Amount],tbl_GLExpense[GL Account],$B71,tbl_GLExpense[GL Date],N$19)</f>
        <v>7644</v>
      </c>
      <c r="O71" s="4">
        <f>SUMIFS(tbl_GLExpense[Amount],tbl_GLExpense[GL Account],$B71,tbl_GLExpense[GL Date],O$19)</f>
        <v>5664</v>
      </c>
      <c r="P71" s="4">
        <f t="shared" si="24"/>
        <v>652279</v>
      </c>
    </row>
    <row r="72" spans="2:16" x14ac:dyDescent="0.45">
      <c r="B72" s="22" cm="1">
        <f t="array" ref="B72">INDEX(tbl_ChartOfAccounts[Secondary GL Account Group],MATCH('12-Month Cash Flow'!C72,tbl_ChartOfAccounts[Description],0),0)</f>
        <v>5006</v>
      </c>
      <c r="C72" t="s">
        <v>62</v>
      </c>
      <c r="D72" s="4">
        <f>SUMIFS(tbl_GLExpense[Amount],tbl_GLExpense[GL Account],$B72,tbl_GLExpense[GL Date],D$19)</f>
        <v>60199</v>
      </c>
      <c r="E72" s="4">
        <f>SUMIFS(tbl_GLExpense[Amount],tbl_GLExpense[GL Account],$B72,tbl_GLExpense[GL Date],E$19)</f>
        <v>72316</v>
      </c>
      <c r="F72" s="4">
        <f>SUMIFS(tbl_GLExpense[Amount],tbl_GLExpense[GL Account],$B72,tbl_GLExpense[GL Date],F$19)</f>
        <v>98858</v>
      </c>
      <c r="G72" s="4">
        <f>SUMIFS(tbl_GLExpense[Amount],tbl_GLExpense[GL Account],$B72,tbl_GLExpense[GL Date],G$19)</f>
        <v>50987</v>
      </c>
      <c r="H72" s="4">
        <f>SUMIFS(tbl_GLExpense[Amount],tbl_GLExpense[GL Account],$B72,tbl_GLExpense[GL Date],H$19)</f>
        <v>87684</v>
      </c>
      <c r="I72" s="4">
        <f>SUMIFS(tbl_GLExpense[Amount],tbl_GLExpense[GL Account],$B72,tbl_GLExpense[GL Date],I$19)</f>
        <v>43849</v>
      </c>
      <c r="J72" s="4">
        <f>SUMIFS(tbl_GLExpense[Amount],tbl_GLExpense[GL Account],$B72,tbl_GLExpense[GL Date],J$19)</f>
        <v>8992</v>
      </c>
      <c r="K72" s="4">
        <f>SUMIFS(tbl_GLExpense[Amount],tbl_GLExpense[GL Account],$B72,tbl_GLExpense[GL Date],K$19)</f>
        <v>872</v>
      </c>
      <c r="L72" s="4">
        <f>SUMIFS(tbl_GLExpense[Amount],tbl_GLExpense[GL Account],$B72,tbl_GLExpense[GL Date],L$19)</f>
        <v>2320</v>
      </c>
      <c r="M72" s="4">
        <f>SUMIFS(tbl_GLExpense[Amount],tbl_GLExpense[GL Account],$B72,tbl_GLExpense[GL Date],M$19)</f>
        <v>43746</v>
      </c>
      <c r="N72" s="4">
        <f>SUMIFS(tbl_GLExpense[Amount],tbl_GLExpense[GL Account],$B72,tbl_GLExpense[GL Date],N$19)</f>
        <v>63606</v>
      </c>
      <c r="O72" s="4">
        <f>SUMIFS(tbl_GLExpense[Amount],tbl_GLExpense[GL Account],$B72,tbl_GLExpense[GL Date],O$19)</f>
        <v>23603</v>
      </c>
      <c r="P72" s="4">
        <f t="shared" si="24"/>
        <v>557032</v>
      </c>
    </row>
    <row r="73" spans="2:16" x14ac:dyDescent="0.45">
      <c r="B73" s="22" cm="1">
        <f t="array" ref="B73">INDEX(tbl_ChartOfAccounts[Secondary GL Account Group],MATCH('12-Month Cash Flow'!C73,tbl_ChartOfAccounts[Description],0),0)</f>
        <v>5007</v>
      </c>
      <c r="C73" t="s">
        <v>63</v>
      </c>
      <c r="D73" s="4">
        <f>SUMIFS(tbl_GLExpense[Amount],tbl_GLExpense[GL Account],$B73,tbl_GLExpense[GL Date],D$19)</f>
        <v>46039</v>
      </c>
      <c r="E73" s="4">
        <f>SUMIFS(tbl_GLExpense[Amount],tbl_GLExpense[GL Account],$B73,tbl_GLExpense[GL Date],E$19)</f>
        <v>69752</v>
      </c>
      <c r="F73" s="4">
        <f>SUMIFS(tbl_GLExpense[Amount],tbl_GLExpense[GL Account],$B73,tbl_GLExpense[GL Date],F$19)</f>
        <v>57658</v>
      </c>
      <c r="G73" s="4">
        <f>SUMIFS(tbl_GLExpense[Amount],tbl_GLExpense[GL Account],$B73,tbl_GLExpense[GL Date],G$19)</f>
        <v>22902</v>
      </c>
      <c r="H73" s="4">
        <f>SUMIFS(tbl_GLExpense[Amount],tbl_GLExpense[GL Account],$B73,tbl_GLExpense[GL Date],H$19)</f>
        <v>94122</v>
      </c>
      <c r="I73" s="4">
        <f>SUMIFS(tbl_GLExpense[Amount],tbl_GLExpense[GL Account],$B73,tbl_GLExpense[GL Date],I$19)</f>
        <v>93792</v>
      </c>
      <c r="J73" s="4">
        <f>SUMIFS(tbl_GLExpense[Amount],tbl_GLExpense[GL Account],$B73,tbl_GLExpense[GL Date],J$19)</f>
        <v>53293</v>
      </c>
      <c r="K73" s="4">
        <f>SUMIFS(tbl_GLExpense[Amount],tbl_GLExpense[GL Account],$B73,tbl_GLExpense[GL Date],K$19)</f>
        <v>93581</v>
      </c>
      <c r="L73" s="4">
        <f>SUMIFS(tbl_GLExpense[Amount],tbl_GLExpense[GL Account],$B73,tbl_GLExpense[GL Date],L$19)</f>
        <v>9739</v>
      </c>
      <c r="M73" s="4">
        <f>SUMIFS(tbl_GLExpense[Amount],tbl_GLExpense[GL Account],$B73,tbl_GLExpense[GL Date],M$19)</f>
        <v>79835</v>
      </c>
      <c r="N73" s="4">
        <f>SUMIFS(tbl_GLExpense[Amount],tbl_GLExpense[GL Account],$B73,tbl_GLExpense[GL Date],N$19)</f>
        <v>61783</v>
      </c>
      <c r="O73" s="4">
        <f>SUMIFS(tbl_GLExpense[Amount],tbl_GLExpense[GL Account],$B73,tbl_GLExpense[GL Date],O$19)</f>
        <v>86621</v>
      </c>
      <c r="P73" s="4">
        <f t="shared" si="24"/>
        <v>769117</v>
      </c>
    </row>
    <row r="74" spans="2:16" x14ac:dyDescent="0.45">
      <c r="B74" s="22" cm="1">
        <f t="array" ref="B74">INDEX(tbl_ChartOfAccounts[Secondary GL Account Group],MATCH('12-Month Cash Flow'!C74,tbl_ChartOfAccounts[Description],0),0)</f>
        <v>5008</v>
      </c>
      <c r="C74" t="s">
        <v>64</v>
      </c>
      <c r="D74" s="4">
        <f>SUMIFS(tbl_GLExpense[Amount],tbl_GLExpense[GL Account],$B74,tbl_GLExpense[GL Date],D$19)</f>
        <v>15221</v>
      </c>
      <c r="E74" s="4">
        <f>SUMIFS(tbl_GLExpense[Amount],tbl_GLExpense[GL Account],$B74,tbl_GLExpense[GL Date],E$19)</f>
        <v>77901</v>
      </c>
      <c r="F74" s="4">
        <f>SUMIFS(tbl_GLExpense[Amount],tbl_GLExpense[GL Account],$B74,tbl_GLExpense[GL Date],F$19)</f>
        <v>63361</v>
      </c>
      <c r="G74" s="4">
        <f>SUMIFS(tbl_GLExpense[Amount],tbl_GLExpense[GL Account],$B74,tbl_GLExpense[GL Date],G$19)</f>
        <v>58662</v>
      </c>
      <c r="H74" s="4">
        <f>SUMIFS(tbl_GLExpense[Amount],tbl_GLExpense[GL Account],$B74,tbl_GLExpense[GL Date],H$19)</f>
        <v>60589</v>
      </c>
      <c r="I74" s="4">
        <f>SUMIFS(tbl_GLExpense[Amount],tbl_GLExpense[GL Account],$B74,tbl_GLExpense[GL Date],I$19)</f>
        <v>60600</v>
      </c>
      <c r="J74" s="4">
        <f>SUMIFS(tbl_GLExpense[Amount],tbl_GLExpense[GL Account],$B74,tbl_GLExpense[GL Date],J$19)</f>
        <v>36703</v>
      </c>
      <c r="K74" s="4">
        <f>SUMIFS(tbl_GLExpense[Amount],tbl_GLExpense[GL Account],$B74,tbl_GLExpense[GL Date],K$19)</f>
        <v>84065</v>
      </c>
      <c r="L74" s="4">
        <f>SUMIFS(tbl_GLExpense[Amount],tbl_GLExpense[GL Account],$B74,tbl_GLExpense[GL Date],L$19)</f>
        <v>22642</v>
      </c>
      <c r="M74" s="4">
        <f>SUMIFS(tbl_GLExpense[Amount],tbl_GLExpense[GL Account],$B74,tbl_GLExpense[GL Date],M$19)</f>
        <v>29612</v>
      </c>
      <c r="N74" s="4">
        <f>SUMIFS(tbl_GLExpense[Amount],tbl_GLExpense[GL Account],$B74,tbl_GLExpense[GL Date],N$19)</f>
        <v>36309</v>
      </c>
      <c r="O74" s="4">
        <f>SUMIFS(tbl_GLExpense[Amount],tbl_GLExpense[GL Account],$B74,tbl_GLExpense[GL Date],O$19)</f>
        <v>78350</v>
      </c>
      <c r="P74" s="4">
        <f t="shared" si="24"/>
        <v>624015</v>
      </c>
    </row>
    <row r="75" spans="2:16" x14ac:dyDescent="0.45">
      <c r="B75" s="22" cm="1">
        <f t="array" ref="B75">INDEX(tbl_ChartOfAccounts[Secondary GL Account Group],MATCH('12-Month Cash Flow'!C75,tbl_ChartOfAccounts[Description],0),0)</f>
        <v>5009</v>
      </c>
      <c r="C75" t="s">
        <v>65</v>
      </c>
      <c r="D75" s="4">
        <f>SUMIFS(tbl_GLExpense[Amount],tbl_GLExpense[GL Account],$B75,tbl_GLExpense[GL Date],D$19)</f>
        <v>26669</v>
      </c>
      <c r="E75" s="4">
        <f>SUMIFS(tbl_GLExpense[Amount],tbl_GLExpense[GL Account],$B75,tbl_GLExpense[GL Date],E$19)</f>
        <v>49493</v>
      </c>
      <c r="F75" s="4">
        <f>SUMIFS(tbl_GLExpense[Amount],tbl_GLExpense[GL Account],$B75,tbl_GLExpense[GL Date],F$19)</f>
        <v>74859</v>
      </c>
      <c r="G75" s="4">
        <f>SUMIFS(tbl_GLExpense[Amount],tbl_GLExpense[GL Account],$B75,tbl_GLExpense[GL Date],G$19)</f>
        <v>6091</v>
      </c>
      <c r="H75" s="4">
        <f>SUMIFS(tbl_GLExpense[Amount],tbl_GLExpense[GL Account],$B75,tbl_GLExpense[GL Date],H$19)</f>
        <v>93417</v>
      </c>
      <c r="I75" s="4">
        <f>SUMIFS(tbl_GLExpense[Amount],tbl_GLExpense[GL Account],$B75,tbl_GLExpense[GL Date],I$19)</f>
        <v>13322</v>
      </c>
      <c r="J75" s="4">
        <f>SUMIFS(tbl_GLExpense[Amount],tbl_GLExpense[GL Account],$B75,tbl_GLExpense[GL Date],J$19)</f>
        <v>14179</v>
      </c>
      <c r="K75" s="4">
        <f>SUMIFS(tbl_GLExpense[Amount],tbl_GLExpense[GL Account],$B75,tbl_GLExpense[GL Date],K$19)</f>
        <v>87126</v>
      </c>
      <c r="L75" s="4">
        <f>SUMIFS(tbl_GLExpense[Amount],tbl_GLExpense[GL Account],$B75,tbl_GLExpense[GL Date],L$19)</f>
        <v>74981</v>
      </c>
      <c r="M75" s="4">
        <f>SUMIFS(tbl_GLExpense[Amount],tbl_GLExpense[GL Account],$B75,tbl_GLExpense[GL Date],M$19)</f>
        <v>25265</v>
      </c>
      <c r="N75" s="4">
        <f>SUMIFS(tbl_GLExpense[Amount],tbl_GLExpense[GL Account],$B75,tbl_GLExpense[GL Date],N$19)</f>
        <v>44480</v>
      </c>
      <c r="O75" s="4">
        <f>SUMIFS(tbl_GLExpense[Amount],tbl_GLExpense[GL Account],$B75,tbl_GLExpense[GL Date],O$19)</f>
        <v>72023</v>
      </c>
      <c r="P75" s="4">
        <f t="shared" si="24"/>
        <v>581905</v>
      </c>
    </row>
    <row r="76" spans="2:16" ht="14.65" thickBot="1" x14ac:dyDescent="0.5">
      <c r="B76" s="24"/>
      <c r="C76" s="12" t="s">
        <v>66</v>
      </c>
      <c r="D76" s="13">
        <f t="shared" ref="D76:P76" si="25">SUM(D67:D75)</f>
        <v>332734</v>
      </c>
      <c r="E76" s="13">
        <f t="shared" si="25"/>
        <v>458764</v>
      </c>
      <c r="F76" s="13">
        <f t="shared" si="25"/>
        <v>615669</v>
      </c>
      <c r="G76" s="13">
        <f t="shared" si="25"/>
        <v>385438</v>
      </c>
      <c r="H76" s="13">
        <f t="shared" si="25"/>
        <v>566155</v>
      </c>
      <c r="I76" s="13">
        <f t="shared" si="25"/>
        <v>536231</v>
      </c>
      <c r="J76" s="13">
        <f t="shared" si="25"/>
        <v>436951</v>
      </c>
      <c r="K76" s="13">
        <f t="shared" si="25"/>
        <v>453866</v>
      </c>
      <c r="L76" s="13">
        <f t="shared" si="25"/>
        <v>372555</v>
      </c>
      <c r="M76" s="13">
        <f t="shared" si="25"/>
        <v>430663</v>
      </c>
      <c r="N76" s="13">
        <f t="shared" si="25"/>
        <v>370959</v>
      </c>
      <c r="O76" s="13">
        <f t="shared" si="25"/>
        <v>480479</v>
      </c>
      <c r="P76" s="13">
        <f t="shared" si="25"/>
        <v>5440464</v>
      </c>
    </row>
    <row r="77" spans="2:16" ht="14.65" thickTop="1" x14ac:dyDescent="0.45"/>
    <row r="78" spans="2:16" ht="14.65" thickBot="1" x14ac:dyDescent="0.5">
      <c r="B78" s="23" t="s">
        <v>81</v>
      </c>
      <c r="C78" s="2" t="s">
        <v>67</v>
      </c>
      <c r="D78" s="21">
        <f t="shared" ref="D78:P78" si="26">D6</f>
        <v>43101</v>
      </c>
      <c r="E78" s="21">
        <f t="shared" si="26"/>
        <v>43132</v>
      </c>
      <c r="F78" s="21">
        <f t="shared" si="26"/>
        <v>43160</v>
      </c>
      <c r="G78" s="21">
        <f t="shared" si="26"/>
        <v>43191</v>
      </c>
      <c r="H78" s="21">
        <f t="shared" si="26"/>
        <v>43221</v>
      </c>
      <c r="I78" s="21">
        <f t="shared" si="26"/>
        <v>43252</v>
      </c>
      <c r="J78" s="21">
        <f t="shared" si="26"/>
        <v>43282</v>
      </c>
      <c r="K78" s="21">
        <f t="shared" si="26"/>
        <v>43313</v>
      </c>
      <c r="L78" s="21">
        <f t="shared" si="26"/>
        <v>43344</v>
      </c>
      <c r="M78" s="21">
        <f t="shared" si="26"/>
        <v>43374</v>
      </c>
      <c r="N78" s="21">
        <f t="shared" si="26"/>
        <v>43405</v>
      </c>
      <c r="O78" s="21">
        <f t="shared" si="26"/>
        <v>43435</v>
      </c>
      <c r="P78" s="21" t="str">
        <f t="shared" si="26"/>
        <v>Total</v>
      </c>
    </row>
    <row r="79" spans="2:16" x14ac:dyDescent="0.45">
      <c r="B79" s="22" cm="1">
        <f t="array" ref="B79">INDEX(tbl_ChartOfAccounts[Secondary GL Account Group],MATCH('12-Month Cash Flow'!C79,tbl_ChartOfAccounts[Description],0),0)</f>
        <v>6002</v>
      </c>
      <c r="C79" t="s">
        <v>68</v>
      </c>
      <c r="D79" s="4">
        <f>SUMIFS(tbl_GLExpense[Amount],tbl_GLExpense[GL Account],$B79,tbl_GLExpense[GL Date],D$19)</f>
        <v>749</v>
      </c>
      <c r="E79" s="4">
        <f>SUMIFS(tbl_GLExpense[Amount],tbl_GLExpense[GL Account],$B79,tbl_GLExpense[GL Date],E$19)</f>
        <v>794</v>
      </c>
      <c r="F79" s="4">
        <f>SUMIFS(tbl_GLExpense[Amount],tbl_GLExpense[GL Account],$B79,tbl_GLExpense[GL Date],F$19)</f>
        <v>790</v>
      </c>
      <c r="G79" s="4">
        <f>SUMIFS(tbl_GLExpense[Amount],tbl_GLExpense[GL Account],$B79,tbl_GLExpense[GL Date],G$19)</f>
        <v>803</v>
      </c>
      <c r="H79" s="4">
        <f>SUMIFS(tbl_GLExpense[Amount],tbl_GLExpense[GL Account],$B79,tbl_GLExpense[GL Date],H$19)</f>
        <v>291</v>
      </c>
      <c r="I79" s="4">
        <f>SUMIFS(tbl_GLExpense[Amount],tbl_GLExpense[GL Account],$B79,tbl_GLExpense[GL Date],I$19)</f>
        <v>853</v>
      </c>
      <c r="J79" s="4">
        <f>SUMIFS(tbl_GLExpense[Amount],tbl_GLExpense[GL Account],$B79,tbl_GLExpense[GL Date],J$19)</f>
        <v>694</v>
      </c>
      <c r="K79" s="4">
        <f>SUMIFS(tbl_GLExpense[Amount],tbl_GLExpense[GL Account],$B79,tbl_GLExpense[GL Date],K$19)</f>
        <v>832</v>
      </c>
      <c r="L79" s="4">
        <f>SUMIFS(tbl_GLExpense[Amount],tbl_GLExpense[GL Account],$B79,tbl_GLExpense[GL Date],L$19)</f>
        <v>813</v>
      </c>
      <c r="M79" s="4">
        <f>SUMIFS(tbl_GLExpense[Amount],tbl_GLExpense[GL Account],$B79,tbl_GLExpense[GL Date],M$19)</f>
        <v>332</v>
      </c>
      <c r="N79" s="4">
        <f>SUMIFS(tbl_GLExpense[Amount],tbl_GLExpense[GL Account],$B79,tbl_GLExpense[GL Date],N$19)</f>
        <v>313</v>
      </c>
      <c r="O79" s="4">
        <f>SUMIFS(tbl_GLExpense[Amount],tbl_GLExpense[GL Account],$B79,tbl_GLExpense[GL Date],O$19)</f>
        <v>677</v>
      </c>
      <c r="P79" s="4">
        <f>SUM(D79:O79)</f>
        <v>7941</v>
      </c>
    </row>
    <row r="80" spans="2:16" x14ac:dyDescent="0.45">
      <c r="B80" s="22" cm="1">
        <f t="array" ref="B80">INDEX(tbl_ChartOfAccounts[Secondary GL Account Group],MATCH('12-Month Cash Flow'!C80,tbl_ChartOfAccounts[Description],0),0)</f>
        <v>6003</v>
      </c>
      <c r="C80" t="s">
        <v>69</v>
      </c>
      <c r="D80" s="4">
        <f>SUMIFS(tbl_GLExpense[Amount],tbl_GLExpense[GL Account],$B80,tbl_GLExpense[GL Date],D$19)</f>
        <v>411</v>
      </c>
      <c r="E80" s="4">
        <f>SUMIFS(tbl_GLExpense[Amount],tbl_GLExpense[GL Account],$B80,tbl_GLExpense[GL Date],E$19)</f>
        <v>497</v>
      </c>
      <c r="F80" s="4">
        <f>SUMIFS(tbl_GLExpense[Amount],tbl_GLExpense[GL Account],$B80,tbl_GLExpense[GL Date],F$19)</f>
        <v>553</v>
      </c>
      <c r="G80" s="4">
        <f>SUMIFS(tbl_GLExpense[Amount],tbl_GLExpense[GL Account],$B80,tbl_GLExpense[GL Date],G$19)</f>
        <v>121</v>
      </c>
      <c r="H80" s="4">
        <f>SUMIFS(tbl_GLExpense[Amount],tbl_GLExpense[GL Account],$B80,tbl_GLExpense[GL Date],H$19)</f>
        <v>49</v>
      </c>
      <c r="I80" s="4">
        <f>SUMIFS(tbl_GLExpense[Amount],tbl_GLExpense[GL Account],$B80,tbl_GLExpense[GL Date],I$19)</f>
        <v>224</v>
      </c>
      <c r="J80" s="4">
        <f>SUMIFS(tbl_GLExpense[Amount],tbl_GLExpense[GL Account],$B80,tbl_GLExpense[GL Date],J$19)</f>
        <v>245</v>
      </c>
      <c r="K80" s="4">
        <f>SUMIFS(tbl_GLExpense[Amount],tbl_GLExpense[GL Account],$B80,tbl_GLExpense[GL Date],K$19)</f>
        <v>37</v>
      </c>
      <c r="L80" s="4">
        <f>SUMIFS(tbl_GLExpense[Amount],tbl_GLExpense[GL Account],$B80,tbl_GLExpense[GL Date],L$19)</f>
        <v>745</v>
      </c>
      <c r="M80" s="4">
        <f>SUMIFS(tbl_GLExpense[Amount],tbl_GLExpense[GL Account],$B80,tbl_GLExpense[GL Date],M$19)</f>
        <v>136</v>
      </c>
      <c r="N80" s="4">
        <f>SUMIFS(tbl_GLExpense[Amount],tbl_GLExpense[GL Account],$B80,tbl_GLExpense[GL Date],N$19)</f>
        <v>704</v>
      </c>
      <c r="O80" s="4">
        <f>SUMIFS(tbl_GLExpense[Amount],tbl_GLExpense[GL Account],$B80,tbl_GLExpense[GL Date],O$19)</f>
        <v>565</v>
      </c>
      <c r="P80" s="4">
        <f t="shared" ref="P80:P83" si="27">SUM(D80:O80)</f>
        <v>4287</v>
      </c>
    </row>
    <row r="81" spans="2:16" x14ac:dyDescent="0.45">
      <c r="B81" s="22" cm="1">
        <f t="array" ref="B81">INDEX(tbl_ChartOfAccounts[Secondary GL Account Group],MATCH('12-Month Cash Flow'!C81,tbl_ChartOfAccounts[Description],0),0)</f>
        <v>6004</v>
      </c>
      <c r="C81" t="s">
        <v>70</v>
      </c>
      <c r="D81" s="4">
        <f>SUMIFS(tbl_GLExpense[Amount],tbl_GLExpense[GL Account],$B81,tbl_GLExpense[GL Date],D$19)</f>
        <v>897</v>
      </c>
      <c r="E81" s="4">
        <f>SUMIFS(tbl_GLExpense[Amount],tbl_GLExpense[GL Account],$B81,tbl_GLExpense[GL Date],E$19)</f>
        <v>668</v>
      </c>
      <c r="F81" s="4">
        <f>SUMIFS(tbl_GLExpense[Amount],tbl_GLExpense[GL Account],$B81,tbl_GLExpense[GL Date],F$19)</f>
        <v>98</v>
      </c>
      <c r="G81" s="4">
        <f>SUMIFS(tbl_GLExpense[Amount],tbl_GLExpense[GL Account],$B81,tbl_GLExpense[GL Date],G$19)</f>
        <v>926</v>
      </c>
      <c r="H81" s="4">
        <f>SUMIFS(tbl_GLExpense[Amount],tbl_GLExpense[GL Account],$B81,tbl_GLExpense[GL Date],H$19)</f>
        <v>712</v>
      </c>
      <c r="I81" s="4">
        <f>SUMIFS(tbl_GLExpense[Amount],tbl_GLExpense[GL Account],$B81,tbl_GLExpense[GL Date],I$19)</f>
        <v>879</v>
      </c>
      <c r="J81" s="4">
        <f>SUMIFS(tbl_GLExpense[Amount],tbl_GLExpense[GL Account],$B81,tbl_GLExpense[GL Date],J$19)</f>
        <v>370</v>
      </c>
      <c r="K81" s="4">
        <f>SUMIFS(tbl_GLExpense[Amount],tbl_GLExpense[GL Account],$B81,tbl_GLExpense[GL Date],K$19)</f>
        <v>992</v>
      </c>
      <c r="L81" s="4">
        <f>SUMIFS(tbl_GLExpense[Amount],tbl_GLExpense[GL Account],$B81,tbl_GLExpense[GL Date],L$19)</f>
        <v>584</v>
      </c>
      <c r="M81" s="4">
        <f>SUMIFS(tbl_GLExpense[Amount],tbl_GLExpense[GL Account],$B81,tbl_GLExpense[GL Date],M$19)</f>
        <v>165</v>
      </c>
      <c r="N81" s="4">
        <f>SUMIFS(tbl_GLExpense[Amount],tbl_GLExpense[GL Account],$B81,tbl_GLExpense[GL Date],N$19)</f>
        <v>465</v>
      </c>
      <c r="O81" s="4">
        <f>SUMIFS(tbl_GLExpense[Amount],tbl_GLExpense[GL Account],$B81,tbl_GLExpense[GL Date],O$19)</f>
        <v>439</v>
      </c>
      <c r="P81" s="4">
        <f t="shared" si="27"/>
        <v>7195</v>
      </c>
    </row>
    <row r="82" spans="2:16" x14ac:dyDescent="0.45">
      <c r="B82" s="22" cm="1">
        <f t="array" ref="B82">INDEX(tbl_ChartOfAccounts[Secondary GL Account Group],MATCH('12-Month Cash Flow'!C82,tbl_ChartOfAccounts[Description],0),0)</f>
        <v>6005</v>
      </c>
      <c r="C82" t="s">
        <v>71</v>
      </c>
      <c r="D82" s="4">
        <f>SUMIFS(tbl_GLExpense[Amount],tbl_GLExpense[GL Account],$B82,tbl_GLExpense[GL Date],D$19)</f>
        <v>365</v>
      </c>
      <c r="E82" s="4">
        <f>SUMIFS(tbl_GLExpense[Amount],tbl_GLExpense[GL Account],$B82,tbl_GLExpense[GL Date],E$19)</f>
        <v>223</v>
      </c>
      <c r="F82" s="4">
        <f>SUMIFS(tbl_GLExpense[Amount],tbl_GLExpense[GL Account],$B82,tbl_GLExpense[GL Date],F$19)</f>
        <v>392</v>
      </c>
      <c r="G82" s="4">
        <f>SUMIFS(tbl_GLExpense[Amount],tbl_GLExpense[GL Account],$B82,tbl_GLExpense[GL Date],G$19)</f>
        <v>155</v>
      </c>
      <c r="H82" s="4">
        <f>SUMIFS(tbl_GLExpense[Amount],tbl_GLExpense[GL Account],$B82,tbl_GLExpense[GL Date],H$19)</f>
        <v>105</v>
      </c>
      <c r="I82" s="4">
        <f>SUMIFS(tbl_GLExpense[Amount],tbl_GLExpense[GL Account],$B82,tbl_GLExpense[GL Date],I$19)</f>
        <v>368</v>
      </c>
      <c r="J82" s="4">
        <f>SUMIFS(tbl_GLExpense[Amount],tbl_GLExpense[GL Account],$B82,tbl_GLExpense[GL Date],J$19)</f>
        <v>119</v>
      </c>
      <c r="K82" s="4">
        <f>SUMIFS(tbl_GLExpense[Amount],tbl_GLExpense[GL Account],$B82,tbl_GLExpense[GL Date],K$19)</f>
        <v>931</v>
      </c>
      <c r="L82" s="4">
        <f>SUMIFS(tbl_GLExpense[Amount],tbl_GLExpense[GL Account],$B82,tbl_GLExpense[GL Date],L$19)</f>
        <v>777</v>
      </c>
      <c r="M82" s="4">
        <f>SUMIFS(tbl_GLExpense[Amount],tbl_GLExpense[GL Account],$B82,tbl_GLExpense[GL Date],M$19)</f>
        <v>248</v>
      </c>
      <c r="N82" s="4">
        <f>SUMIFS(tbl_GLExpense[Amount],tbl_GLExpense[GL Account],$B82,tbl_GLExpense[GL Date],N$19)</f>
        <v>963</v>
      </c>
      <c r="O82" s="4">
        <f>SUMIFS(tbl_GLExpense[Amount],tbl_GLExpense[GL Account],$B82,tbl_GLExpense[GL Date],O$19)</f>
        <v>878</v>
      </c>
      <c r="P82" s="4">
        <f t="shared" si="27"/>
        <v>5524</v>
      </c>
    </row>
    <row r="83" spans="2:16" x14ac:dyDescent="0.45">
      <c r="B83" s="22" cm="1">
        <f t="array" ref="B83">INDEX(tbl_ChartOfAccounts[Secondary GL Account Group],MATCH('12-Month Cash Flow'!C83,tbl_ChartOfAccounts[Description],0),0)</f>
        <v>6006</v>
      </c>
      <c r="C83" t="s">
        <v>72</v>
      </c>
      <c r="D83" s="4">
        <f>SUMIFS(tbl_GLExpense[Amount],tbl_GLExpense[GL Account],$B83,tbl_GLExpense[GL Date],D$19)</f>
        <v>583</v>
      </c>
      <c r="E83" s="4">
        <f>SUMIFS(tbl_GLExpense[Amount],tbl_GLExpense[GL Account],$B83,tbl_GLExpense[GL Date],E$19)</f>
        <v>144</v>
      </c>
      <c r="F83" s="4">
        <f>SUMIFS(tbl_GLExpense[Amount],tbl_GLExpense[GL Account],$B83,tbl_GLExpense[GL Date],F$19)</f>
        <v>573</v>
      </c>
      <c r="G83" s="4">
        <f>SUMIFS(tbl_GLExpense[Amount],tbl_GLExpense[GL Account],$B83,tbl_GLExpense[GL Date],G$19)</f>
        <v>668</v>
      </c>
      <c r="H83" s="4">
        <f>SUMIFS(tbl_GLExpense[Amount],tbl_GLExpense[GL Account],$B83,tbl_GLExpense[GL Date],H$19)</f>
        <v>897</v>
      </c>
      <c r="I83" s="4">
        <f>SUMIFS(tbl_GLExpense[Amount],tbl_GLExpense[GL Account],$B83,tbl_GLExpense[GL Date],I$19)</f>
        <v>404</v>
      </c>
      <c r="J83" s="4">
        <f>SUMIFS(tbl_GLExpense[Amount],tbl_GLExpense[GL Account],$B83,tbl_GLExpense[GL Date],J$19)</f>
        <v>464</v>
      </c>
      <c r="K83" s="4">
        <f>SUMIFS(tbl_GLExpense[Amount],tbl_GLExpense[GL Account],$B83,tbl_GLExpense[GL Date],K$19)</f>
        <v>338</v>
      </c>
      <c r="L83" s="4">
        <f>SUMIFS(tbl_GLExpense[Amount],tbl_GLExpense[GL Account],$B83,tbl_GLExpense[GL Date],L$19)</f>
        <v>923</v>
      </c>
      <c r="M83" s="4">
        <f>SUMIFS(tbl_GLExpense[Amount],tbl_GLExpense[GL Account],$B83,tbl_GLExpense[GL Date],M$19)</f>
        <v>828</v>
      </c>
      <c r="N83" s="4">
        <f>SUMIFS(tbl_GLExpense[Amount],tbl_GLExpense[GL Account],$B83,tbl_GLExpense[GL Date],N$19)</f>
        <v>565</v>
      </c>
      <c r="O83" s="4">
        <f>SUMIFS(tbl_GLExpense[Amount],tbl_GLExpense[GL Account],$B83,tbl_GLExpense[GL Date],O$19)</f>
        <v>752</v>
      </c>
      <c r="P83" s="4">
        <f t="shared" si="27"/>
        <v>7139</v>
      </c>
    </row>
    <row r="84" spans="2:16" ht="14.65" thickBot="1" x14ac:dyDescent="0.5">
      <c r="B84" s="24"/>
      <c r="C84" s="12" t="s">
        <v>73</v>
      </c>
      <c r="D84" s="13">
        <f>SUM(D79:D83)</f>
        <v>3005</v>
      </c>
      <c r="E84" s="13">
        <f t="shared" ref="E84:P84" si="28">SUM(E79:E83)</f>
        <v>2326</v>
      </c>
      <c r="F84" s="13">
        <f t="shared" si="28"/>
        <v>2406</v>
      </c>
      <c r="G84" s="13">
        <f t="shared" si="28"/>
        <v>2673</v>
      </c>
      <c r="H84" s="13">
        <f t="shared" si="28"/>
        <v>2054</v>
      </c>
      <c r="I84" s="13">
        <f t="shared" si="28"/>
        <v>2728</v>
      </c>
      <c r="J84" s="13">
        <f t="shared" si="28"/>
        <v>1892</v>
      </c>
      <c r="K84" s="13">
        <f t="shared" si="28"/>
        <v>3130</v>
      </c>
      <c r="L84" s="13">
        <f t="shared" si="28"/>
        <v>3842</v>
      </c>
      <c r="M84" s="13">
        <f t="shared" si="28"/>
        <v>1709</v>
      </c>
      <c r="N84" s="13">
        <f t="shared" si="28"/>
        <v>3010</v>
      </c>
      <c r="O84" s="13">
        <f t="shared" si="28"/>
        <v>3311</v>
      </c>
      <c r="P84" s="13">
        <f t="shared" si="28"/>
        <v>32086</v>
      </c>
    </row>
    <row r="85" spans="2:16" ht="14.65" thickTop="1" x14ac:dyDescent="0.45"/>
    <row r="86" spans="2:16" ht="14.65" thickBot="1" x14ac:dyDescent="0.5">
      <c r="B86" s="24"/>
      <c r="C86" s="12" t="s">
        <v>74</v>
      </c>
      <c r="D86" s="13">
        <f t="shared" ref="D86:P86" si="29">SUMIF($C$28:$C$84,"*Total*",D28:D84)</f>
        <v>349792</v>
      </c>
      <c r="E86" s="13">
        <f t="shared" si="29"/>
        <v>475491</v>
      </c>
      <c r="F86" s="13">
        <f t="shared" si="29"/>
        <v>632199</v>
      </c>
      <c r="G86" s="13">
        <f t="shared" si="29"/>
        <v>400541</v>
      </c>
      <c r="H86" s="13">
        <f t="shared" si="29"/>
        <v>581970</v>
      </c>
      <c r="I86" s="13">
        <f t="shared" si="29"/>
        <v>553116</v>
      </c>
      <c r="J86" s="13">
        <f t="shared" si="29"/>
        <v>453831</v>
      </c>
      <c r="K86" s="13">
        <f t="shared" si="29"/>
        <v>470411</v>
      </c>
      <c r="L86" s="13">
        <f t="shared" si="29"/>
        <v>391553</v>
      </c>
      <c r="M86" s="13">
        <f t="shared" si="29"/>
        <v>448635</v>
      </c>
      <c r="N86" s="13">
        <f t="shared" si="29"/>
        <v>389370</v>
      </c>
      <c r="O86" s="13">
        <f t="shared" si="29"/>
        <v>496417</v>
      </c>
      <c r="P86" s="13">
        <f t="shared" si="29"/>
        <v>5643326</v>
      </c>
    </row>
    <row r="87" spans="2:16" ht="14.65" thickTop="1" x14ac:dyDescent="0.45"/>
  </sheetData>
  <conditionalFormatting sqref="D5:O5">
    <cfRule type="dataBar" priority="1">
      <dataBar>
        <cfvo type="min"/>
        <cfvo type="max"/>
        <color rgb="FF63C384"/>
      </dataBar>
      <extLst>
        <ext xmlns:x14="http://schemas.microsoft.com/office/spreadsheetml/2009/9/main" uri="{B025F937-C7B1-47D3-B67F-A62EFF666E3E}">
          <x14:id>{D7B43ACB-07A5-401F-BC57-BF145230C540}</x14:id>
        </ext>
      </extLst>
    </cfRule>
  </conditionalFormatting>
  <pageMargins left="0.7" right="0.7" top="0.75" bottom="0.75" header="0.3" footer="0.3"/>
  <pageSetup orientation="portrait" r:id="rId1"/>
  <extLst>
    <ext xmlns:x14="http://schemas.microsoft.com/office/spreadsheetml/2009/9/main" uri="{78C0D931-6437-407d-A8EE-F0AAD7539E65}">
      <x14:conditionalFormattings>
        <x14:conditionalFormatting xmlns:xm="http://schemas.microsoft.com/office/excel/2006/main">
          <x14:cfRule type="dataBar" id="{D7B43ACB-07A5-401F-BC57-BF145230C540}">
            <x14:dataBar minLength="0" maxLength="100" border="1" negativeBarBorderColorSameAsPositive="0">
              <x14:cfvo type="autoMin"/>
              <x14:cfvo type="autoMax"/>
              <x14:borderColor rgb="FF63C384"/>
              <x14:negativeFillColor rgb="FFFF0000"/>
              <x14:negativeBorderColor rgb="FFFF0000"/>
              <x14:axisColor rgb="FF000000"/>
            </x14:dataBar>
          </x14:cfRule>
          <xm:sqref>D5:O5</xm:sqref>
        </x14:conditionalFormatting>
      </x14:conditionalFormatting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EC626FA-FD6D-4295-ABFC-A76DA8827A69}">
  <sheetPr codeName="Sheet2">
    <tabColor rgb="FFFFC000"/>
  </sheetPr>
  <dimension ref="A1:O51"/>
  <sheetViews>
    <sheetView showGridLines="0" zoomScale="90" zoomScaleNormal="90" workbookViewId="0">
      <selection activeCell="B5" sqref="B5"/>
    </sheetView>
  </sheetViews>
  <sheetFormatPr defaultRowHeight="14.25" x14ac:dyDescent="0.45"/>
  <cols>
    <col min="2" max="2" width="43.73046875" bestFit="1" customWidth="1"/>
    <col min="3" max="15" width="13.265625" customWidth="1"/>
  </cols>
  <sheetData>
    <row r="1" spans="1:15" ht="23.25" x14ac:dyDescent="0.7">
      <c r="A1" s="1" t="s">
        <v>215</v>
      </c>
    </row>
    <row r="3" spans="1:15" x14ac:dyDescent="0.45">
      <c r="A3" s="16" t="s">
        <v>214</v>
      </c>
      <c r="C3" s="16" t="s">
        <v>213</v>
      </c>
    </row>
    <row r="4" spans="1:15" x14ac:dyDescent="0.45">
      <c r="A4" s="16" t="s">
        <v>208</v>
      </c>
      <c r="B4" s="16" t="s">
        <v>76</v>
      </c>
      <c r="C4" s="20">
        <v>43101</v>
      </c>
      <c r="D4" s="20">
        <v>43132</v>
      </c>
      <c r="E4" s="20">
        <v>43160</v>
      </c>
      <c r="F4" s="20">
        <v>43191</v>
      </c>
      <c r="G4" s="20">
        <v>43221</v>
      </c>
      <c r="H4" s="20">
        <v>43252</v>
      </c>
      <c r="I4" s="20">
        <v>43282</v>
      </c>
      <c r="J4" s="20">
        <v>43313</v>
      </c>
      <c r="K4" s="20">
        <v>43344</v>
      </c>
      <c r="L4" s="20">
        <v>43374</v>
      </c>
      <c r="M4" s="20">
        <v>43405</v>
      </c>
      <c r="N4" s="20">
        <v>43435</v>
      </c>
      <c r="O4" s="20" t="s">
        <v>210</v>
      </c>
    </row>
    <row r="5" spans="1:15" x14ac:dyDescent="0.45">
      <c r="A5">
        <v>1001</v>
      </c>
      <c r="B5" t="s">
        <v>145</v>
      </c>
      <c r="C5" s="19">
        <v>265680.25</v>
      </c>
      <c r="D5" s="19">
        <v>150231.125</v>
      </c>
      <c r="E5" s="19">
        <v>308821.15000000002</v>
      </c>
      <c r="F5" s="19">
        <v>211258.57499999998</v>
      </c>
      <c r="G5" s="19">
        <v>250355.6</v>
      </c>
      <c r="H5" s="19">
        <v>235568.57500000001</v>
      </c>
      <c r="I5" s="19">
        <v>230426.07500000001</v>
      </c>
      <c r="J5" s="19">
        <v>147519.625</v>
      </c>
      <c r="K5" s="19">
        <v>163625</v>
      </c>
      <c r="L5" s="19">
        <v>314627.50000000006</v>
      </c>
      <c r="M5" s="19">
        <v>118029.72499999999</v>
      </c>
      <c r="N5" s="19">
        <v>162760.125</v>
      </c>
      <c r="O5" s="19">
        <v>2558903.3250000002</v>
      </c>
    </row>
    <row r="6" spans="1:15" x14ac:dyDescent="0.45">
      <c r="A6">
        <v>1001</v>
      </c>
      <c r="B6" t="s">
        <v>97</v>
      </c>
      <c r="C6" s="19">
        <v>380203.72499999998</v>
      </c>
      <c r="D6" s="19">
        <v>243464.65</v>
      </c>
      <c r="E6" s="19">
        <v>255965.6</v>
      </c>
      <c r="F6" s="19">
        <v>529855.15</v>
      </c>
      <c r="G6" s="19">
        <v>290981.34999999998</v>
      </c>
      <c r="H6" s="19">
        <v>315716.77500000002</v>
      </c>
      <c r="I6" s="19">
        <v>199650.55</v>
      </c>
      <c r="J6" s="19">
        <v>260458.27500000002</v>
      </c>
      <c r="K6" s="19">
        <v>395233.85</v>
      </c>
      <c r="L6" s="19">
        <v>613112.22499999998</v>
      </c>
      <c r="M6" s="19">
        <v>348310.875</v>
      </c>
      <c r="N6" s="19">
        <v>404476.32500000001</v>
      </c>
      <c r="O6" s="19">
        <v>4237429.3499999996</v>
      </c>
    </row>
    <row r="7" spans="1:15" x14ac:dyDescent="0.45">
      <c r="A7">
        <v>1002</v>
      </c>
      <c r="B7" t="s">
        <v>104</v>
      </c>
      <c r="C7" s="19">
        <v>208458.25000000003</v>
      </c>
      <c r="D7" s="19">
        <v>129086.1</v>
      </c>
      <c r="E7" s="19">
        <v>267751.27499999997</v>
      </c>
      <c r="F7" s="19">
        <v>610760.69999999995</v>
      </c>
      <c r="G7" s="19">
        <v>165018.15000000002</v>
      </c>
      <c r="H7" s="19">
        <v>305642.15000000002</v>
      </c>
      <c r="I7" s="19">
        <v>442708.47500000003</v>
      </c>
      <c r="J7" s="19">
        <v>172853.44999999998</v>
      </c>
      <c r="K7" s="19">
        <v>313407.32500000001</v>
      </c>
      <c r="L7" s="19">
        <v>492693.57500000001</v>
      </c>
      <c r="M7" s="19">
        <v>80470.774999999994</v>
      </c>
      <c r="N7" s="19">
        <v>329662.3</v>
      </c>
      <c r="O7" s="19">
        <v>3518512.5250000004</v>
      </c>
    </row>
    <row r="8" spans="1:15" x14ac:dyDescent="0.45">
      <c r="A8">
        <v>2001</v>
      </c>
      <c r="B8" t="s">
        <v>22</v>
      </c>
      <c r="C8" s="19">
        <v>-379</v>
      </c>
      <c r="D8" s="19">
        <v>-475</v>
      </c>
      <c r="E8" s="19">
        <v>-686</v>
      </c>
      <c r="F8" s="19">
        <v>-946</v>
      </c>
      <c r="G8" s="19">
        <v>-781</v>
      </c>
      <c r="H8" s="19">
        <v>-569</v>
      </c>
      <c r="I8" s="19">
        <v>-612</v>
      </c>
      <c r="J8" s="19">
        <v>-139</v>
      </c>
      <c r="K8" s="19">
        <v>-559</v>
      </c>
      <c r="L8" s="19">
        <v>-582</v>
      </c>
      <c r="M8" s="19">
        <v>-272</v>
      </c>
      <c r="N8" s="19">
        <v>-352</v>
      </c>
      <c r="O8" s="19">
        <v>-6352</v>
      </c>
    </row>
    <row r="9" spans="1:15" x14ac:dyDescent="0.45">
      <c r="A9">
        <v>2002</v>
      </c>
      <c r="B9" t="s">
        <v>23</v>
      </c>
      <c r="C9" s="19">
        <v>-750</v>
      </c>
      <c r="D9" s="19">
        <v>-331</v>
      </c>
      <c r="E9" s="19">
        <v>-843</v>
      </c>
      <c r="F9" s="19">
        <v>-932</v>
      </c>
      <c r="G9" s="19">
        <v>-966</v>
      </c>
      <c r="H9" s="19">
        <v>-435</v>
      </c>
      <c r="I9" s="19">
        <v>-354</v>
      </c>
      <c r="J9" s="19">
        <v>-199</v>
      </c>
      <c r="K9" s="19">
        <v>-546</v>
      </c>
      <c r="L9" s="19">
        <v>-937</v>
      </c>
      <c r="M9" s="19">
        <v>-957</v>
      </c>
      <c r="N9" s="19">
        <v>-454</v>
      </c>
      <c r="O9" s="19">
        <v>-7704</v>
      </c>
    </row>
    <row r="10" spans="1:15" x14ac:dyDescent="0.45">
      <c r="A10">
        <v>2003</v>
      </c>
      <c r="B10" t="s">
        <v>24</v>
      </c>
      <c r="C10" s="19">
        <v>-484</v>
      </c>
      <c r="D10" s="19">
        <v>-383</v>
      </c>
      <c r="E10" s="19">
        <v>-986</v>
      </c>
      <c r="F10" s="19">
        <v>-203</v>
      </c>
      <c r="G10" s="19">
        <v>-787</v>
      </c>
      <c r="H10" s="19">
        <v>-562</v>
      </c>
      <c r="I10" s="19">
        <v>-958</v>
      </c>
      <c r="J10" s="19">
        <v>-536</v>
      </c>
      <c r="K10" s="19">
        <v>-258</v>
      </c>
      <c r="L10" s="19">
        <v>-879</v>
      </c>
      <c r="M10" s="19">
        <v>-215</v>
      </c>
      <c r="N10" s="19">
        <v>-263</v>
      </c>
      <c r="O10" s="19">
        <v>-6514</v>
      </c>
    </row>
    <row r="11" spans="1:15" x14ac:dyDescent="0.45">
      <c r="A11">
        <v>2004</v>
      </c>
      <c r="B11" t="s">
        <v>25</v>
      </c>
      <c r="C11" s="19">
        <v>-154</v>
      </c>
      <c r="D11" s="19">
        <v>-610</v>
      </c>
      <c r="E11" s="19">
        <v>-683</v>
      </c>
      <c r="F11" s="19">
        <v>-825</v>
      </c>
      <c r="G11" s="19">
        <v>-349</v>
      </c>
      <c r="H11" s="19">
        <v>-893</v>
      </c>
      <c r="I11" s="19">
        <v>-769</v>
      </c>
      <c r="J11" s="19">
        <v>-625</v>
      </c>
      <c r="K11" s="19">
        <v>-867</v>
      </c>
      <c r="L11" s="19">
        <v>-835</v>
      </c>
      <c r="M11" s="19">
        <v>-140</v>
      </c>
      <c r="N11" s="19">
        <v>-190</v>
      </c>
      <c r="O11" s="19">
        <v>-6940</v>
      </c>
    </row>
    <row r="12" spans="1:15" x14ac:dyDescent="0.45">
      <c r="A12">
        <v>2005</v>
      </c>
      <c r="B12" t="s">
        <v>26</v>
      </c>
      <c r="C12" s="19">
        <v>-199</v>
      </c>
      <c r="D12" s="19">
        <v>-239</v>
      </c>
      <c r="E12" s="19">
        <v>-842</v>
      </c>
      <c r="F12" s="19">
        <v>-547</v>
      </c>
      <c r="G12" s="19">
        <v>-563</v>
      </c>
      <c r="H12" s="19">
        <v>-845</v>
      </c>
      <c r="I12" s="19">
        <v>-437</v>
      </c>
      <c r="J12" s="19">
        <v>-951</v>
      </c>
      <c r="K12" s="19">
        <v>-510</v>
      </c>
      <c r="L12" s="19">
        <v>-333</v>
      </c>
      <c r="M12" s="19">
        <v>-887</v>
      </c>
      <c r="N12" s="19">
        <v>-274</v>
      </c>
      <c r="O12" s="19">
        <v>-6627</v>
      </c>
    </row>
    <row r="13" spans="1:15" x14ac:dyDescent="0.45">
      <c r="A13">
        <v>2006</v>
      </c>
      <c r="B13" t="s">
        <v>27</v>
      </c>
      <c r="C13" s="19">
        <v>-245</v>
      </c>
      <c r="D13" s="19">
        <v>-599</v>
      </c>
      <c r="E13" s="19">
        <v>-353</v>
      </c>
      <c r="F13" s="19">
        <v>-551</v>
      </c>
      <c r="G13" s="19">
        <v>-359</v>
      </c>
      <c r="H13" s="19">
        <v>-597</v>
      </c>
      <c r="I13" s="19">
        <v>-82</v>
      </c>
      <c r="J13" s="19">
        <v>-81</v>
      </c>
      <c r="K13" s="19">
        <v>-432</v>
      </c>
      <c r="L13" s="19">
        <v>-554</v>
      </c>
      <c r="M13" s="19">
        <v>-373</v>
      </c>
      <c r="N13" s="19">
        <v>-444</v>
      </c>
      <c r="O13" s="19">
        <v>-4670</v>
      </c>
    </row>
    <row r="14" spans="1:15" x14ac:dyDescent="0.45">
      <c r="A14">
        <v>2007</v>
      </c>
      <c r="B14" t="s">
        <v>28</v>
      </c>
      <c r="C14" s="19">
        <v>-575</v>
      </c>
      <c r="D14" s="19">
        <v>-484</v>
      </c>
      <c r="E14" s="19">
        <v>-35</v>
      </c>
      <c r="F14" s="19">
        <v>-194</v>
      </c>
      <c r="G14" s="19">
        <v>-722</v>
      </c>
      <c r="H14" s="19">
        <v>-464</v>
      </c>
      <c r="I14" s="19">
        <v>-585</v>
      </c>
      <c r="J14" s="19">
        <v>-677</v>
      </c>
      <c r="K14" s="19">
        <v>-112</v>
      </c>
      <c r="L14" s="19">
        <v>-774</v>
      </c>
      <c r="M14" s="19">
        <v>-131</v>
      </c>
      <c r="N14" s="19">
        <v>-268</v>
      </c>
      <c r="O14" s="19">
        <v>-5021</v>
      </c>
    </row>
    <row r="15" spans="1:15" x14ac:dyDescent="0.45">
      <c r="A15">
        <v>2008</v>
      </c>
      <c r="B15" t="s">
        <v>29</v>
      </c>
      <c r="C15" s="19">
        <v>-303</v>
      </c>
      <c r="D15" s="19">
        <v>-21</v>
      </c>
      <c r="E15" s="19">
        <v>-534</v>
      </c>
      <c r="F15" s="19">
        <v>-822</v>
      </c>
      <c r="G15" s="19">
        <v>-319</v>
      </c>
      <c r="H15" s="19">
        <v>-17</v>
      </c>
      <c r="I15" s="19">
        <v>-774</v>
      </c>
      <c r="J15" s="19">
        <v>-227</v>
      </c>
      <c r="K15" s="19">
        <v>-772</v>
      </c>
      <c r="L15" s="19">
        <v>-502</v>
      </c>
      <c r="M15" s="19">
        <v>-589</v>
      </c>
      <c r="N15" s="19">
        <v>-407</v>
      </c>
      <c r="O15" s="19">
        <v>-5287</v>
      </c>
    </row>
    <row r="16" spans="1:15" x14ac:dyDescent="0.45">
      <c r="A16">
        <v>2009</v>
      </c>
      <c r="B16" t="s">
        <v>30</v>
      </c>
      <c r="C16" s="19">
        <v>-348</v>
      </c>
      <c r="D16" s="19">
        <v>-97</v>
      </c>
      <c r="E16" s="19">
        <v>-396</v>
      </c>
      <c r="F16" s="19">
        <v>-314</v>
      </c>
      <c r="G16" s="19">
        <v>-66</v>
      </c>
      <c r="H16" s="19">
        <v>-707</v>
      </c>
      <c r="I16" s="19">
        <v>-96</v>
      </c>
      <c r="J16" s="19">
        <v>-577</v>
      </c>
      <c r="K16" s="19">
        <v>-893</v>
      </c>
      <c r="L16" s="19">
        <v>-550</v>
      </c>
      <c r="M16" s="19">
        <v>-262</v>
      </c>
      <c r="N16" s="19">
        <v>-732</v>
      </c>
      <c r="O16" s="19">
        <v>-5038</v>
      </c>
    </row>
    <row r="17" spans="1:15" x14ac:dyDescent="0.45">
      <c r="A17">
        <v>2010</v>
      </c>
      <c r="B17" t="s">
        <v>31</v>
      </c>
      <c r="C17" s="19">
        <v>-177</v>
      </c>
      <c r="D17" s="19">
        <v>-183</v>
      </c>
      <c r="E17" s="19">
        <v>-123</v>
      </c>
      <c r="F17" s="19">
        <v>-482</v>
      </c>
      <c r="G17" s="19">
        <v>-9</v>
      </c>
      <c r="H17" s="19">
        <v>-226</v>
      </c>
      <c r="I17" s="19">
        <v>-385</v>
      </c>
      <c r="J17" s="19">
        <v>-627</v>
      </c>
      <c r="K17" s="19">
        <v>-752</v>
      </c>
      <c r="L17" s="19">
        <v>-696</v>
      </c>
      <c r="M17" s="19">
        <v>-767</v>
      </c>
      <c r="N17" s="19">
        <v>-429</v>
      </c>
      <c r="O17" s="19">
        <v>-4856</v>
      </c>
    </row>
    <row r="18" spans="1:15" x14ac:dyDescent="0.45">
      <c r="A18">
        <v>2011</v>
      </c>
      <c r="B18" t="s">
        <v>32</v>
      </c>
      <c r="C18" s="19">
        <v>-554</v>
      </c>
      <c r="D18" s="19">
        <v>-938</v>
      </c>
      <c r="E18" s="19">
        <v>-605</v>
      </c>
      <c r="F18" s="19">
        <v>-322</v>
      </c>
      <c r="G18" s="19">
        <v>-948</v>
      </c>
      <c r="H18" s="19">
        <v>-763</v>
      </c>
      <c r="I18" s="19">
        <v>-937</v>
      </c>
      <c r="J18" s="19">
        <v>-845</v>
      </c>
      <c r="K18" s="19">
        <v>-749</v>
      </c>
      <c r="L18" s="19">
        <v>-136</v>
      </c>
      <c r="M18" s="19">
        <v>-411</v>
      </c>
      <c r="N18" s="19">
        <v>-867</v>
      </c>
      <c r="O18" s="19">
        <v>-8075</v>
      </c>
    </row>
    <row r="19" spans="1:15" x14ac:dyDescent="0.45">
      <c r="A19">
        <v>2012</v>
      </c>
      <c r="B19" t="s">
        <v>33</v>
      </c>
      <c r="C19" s="19">
        <v>-877</v>
      </c>
      <c r="D19" s="19">
        <v>-378</v>
      </c>
      <c r="E19" s="19">
        <v>-94</v>
      </c>
      <c r="F19" s="19">
        <v>-854</v>
      </c>
      <c r="G19" s="19">
        <v>-493</v>
      </c>
      <c r="H19" s="19">
        <v>-284</v>
      </c>
      <c r="I19" s="19">
        <v>-738</v>
      </c>
      <c r="J19" s="19">
        <v>-266</v>
      </c>
      <c r="K19" s="19">
        <v>-528</v>
      </c>
      <c r="L19" s="19">
        <v>-155</v>
      </c>
      <c r="M19" s="19">
        <v>-899</v>
      </c>
      <c r="N19" s="19">
        <v>-217</v>
      </c>
      <c r="O19" s="19">
        <v>-5783</v>
      </c>
    </row>
    <row r="20" spans="1:15" x14ac:dyDescent="0.45">
      <c r="A20">
        <v>2013</v>
      </c>
      <c r="B20" t="s">
        <v>34</v>
      </c>
      <c r="C20" s="19">
        <v>-595</v>
      </c>
      <c r="D20" s="19">
        <v>-492</v>
      </c>
      <c r="E20" s="19">
        <v>-406</v>
      </c>
      <c r="F20" s="19">
        <v>-833</v>
      </c>
      <c r="G20" s="19">
        <v>-224</v>
      </c>
      <c r="H20" s="19">
        <v>-659</v>
      </c>
      <c r="I20" s="19">
        <v>-675</v>
      </c>
      <c r="J20" s="19">
        <v>-992</v>
      </c>
      <c r="K20" s="19">
        <v>-788</v>
      </c>
      <c r="L20" s="19">
        <v>-392</v>
      </c>
      <c r="M20" s="19">
        <v>-527</v>
      </c>
      <c r="N20" s="19">
        <v>-601</v>
      </c>
      <c r="O20" s="19">
        <v>-7184</v>
      </c>
    </row>
    <row r="21" spans="1:15" x14ac:dyDescent="0.45">
      <c r="A21">
        <v>2014</v>
      </c>
      <c r="B21" t="s">
        <v>35</v>
      </c>
      <c r="C21" s="19">
        <v>-626</v>
      </c>
      <c r="D21" s="19">
        <v>-187</v>
      </c>
      <c r="E21" s="19">
        <v>-469</v>
      </c>
      <c r="F21" s="19">
        <v>-124</v>
      </c>
      <c r="G21" s="19">
        <v>-531</v>
      </c>
      <c r="H21" s="19">
        <v>-759</v>
      </c>
      <c r="I21" s="19">
        <v>-909</v>
      </c>
      <c r="J21" s="19">
        <v>-275</v>
      </c>
      <c r="K21" s="19">
        <v>-772</v>
      </c>
      <c r="L21" s="19">
        <v>-800</v>
      </c>
      <c r="M21" s="19">
        <v>-632</v>
      </c>
      <c r="N21" s="19">
        <v>-848</v>
      </c>
      <c r="O21" s="19">
        <v>-6932</v>
      </c>
    </row>
    <row r="22" spans="1:15" x14ac:dyDescent="0.45">
      <c r="A22">
        <v>2015</v>
      </c>
      <c r="B22" t="s">
        <v>36</v>
      </c>
      <c r="C22" s="19">
        <v>-659</v>
      </c>
      <c r="D22" s="19">
        <v>-678</v>
      </c>
      <c r="E22" s="19">
        <v>-228</v>
      </c>
      <c r="F22" s="19">
        <v>-519</v>
      </c>
      <c r="G22" s="19">
        <v>-582</v>
      </c>
      <c r="H22" s="19">
        <v>-773</v>
      </c>
      <c r="I22" s="19">
        <v>-372</v>
      </c>
      <c r="J22" s="19">
        <v>-316</v>
      </c>
      <c r="K22" s="19">
        <v>-257</v>
      </c>
      <c r="L22" s="19">
        <v>-957</v>
      </c>
      <c r="M22" s="19">
        <v>-834</v>
      </c>
      <c r="N22" s="19">
        <v>-31</v>
      </c>
      <c r="O22" s="19">
        <v>-6206</v>
      </c>
    </row>
    <row r="23" spans="1:15" x14ac:dyDescent="0.45">
      <c r="A23">
        <v>2016</v>
      </c>
      <c r="B23" t="s">
        <v>37</v>
      </c>
      <c r="C23" s="19">
        <v>-435</v>
      </c>
      <c r="D23" s="19">
        <v>-777</v>
      </c>
      <c r="E23" s="19">
        <v>-17</v>
      </c>
      <c r="F23" s="19">
        <v>-523</v>
      </c>
      <c r="G23" s="19">
        <v>-856</v>
      </c>
      <c r="H23" s="19">
        <v>-43</v>
      </c>
      <c r="I23" s="19">
        <v>-763</v>
      </c>
      <c r="J23" s="19">
        <v>-55</v>
      </c>
      <c r="K23" s="19">
        <v>-991</v>
      </c>
      <c r="L23" s="19">
        <v>-514</v>
      </c>
      <c r="M23" s="19">
        <v>-766</v>
      </c>
      <c r="N23" s="19">
        <v>-464</v>
      </c>
      <c r="O23" s="19">
        <v>-6204</v>
      </c>
    </row>
    <row r="24" spans="1:15" x14ac:dyDescent="0.45">
      <c r="A24">
        <v>2017</v>
      </c>
      <c r="B24" t="s">
        <v>38</v>
      </c>
      <c r="C24" s="19">
        <v>-359</v>
      </c>
      <c r="D24" s="19">
        <v>-919</v>
      </c>
      <c r="E24" s="19">
        <v>-950</v>
      </c>
      <c r="F24" s="19">
        <v>-703</v>
      </c>
      <c r="G24" s="19">
        <v>-291</v>
      </c>
      <c r="H24" s="19">
        <v>-172</v>
      </c>
      <c r="I24" s="19">
        <v>-732</v>
      </c>
      <c r="J24" s="19">
        <v>-939</v>
      </c>
      <c r="K24" s="19">
        <v>-820</v>
      </c>
      <c r="L24" s="19">
        <v>-5</v>
      </c>
      <c r="M24" s="19">
        <v>-415</v>
      </c>
      <c r="N24" s="19">
        <v>-789</v>
      </c>
      <c r="O24" s="19">
        <v>-7094</v>
      </c>
    </row>
    <row r="25" spans="1:15" x14ac:dyDescent="0.45">
      <c r="A25">
        <v>3001</v>
      </c>
      <c r="B25" t="s">
        <v>41</v>
      </c>
      <c r="C25" s="19">
        <v>-317</v>
      </c>
      <c r="D25" s="19">
        <v>-756</v>
      </c>
      <c r="E25" s="19">
        <v>-270</v>
      </c>
      <c r="F25" s="19">
        <v>-161</v>
      </c>
      <c r="G25" s="19">
        <v>-963</v>
      </c>
      <c r="H25" s="19">
        <v>-240</v>
      </c>
      <c r="I25" s="19">
        <v>-268</v>
      </c>
      <c r="J25" s="19">
        <v>-833</v>
      </c>
      <c r="K25" s="19">
        <v>-17</v>
      </c>
      <c r="L25" s="19">
        <v>-524</v>
      </c>
      <c r="M25" s="19">
        <v>-356</v>
      </c>
      <c r="N25" s="19">
        <v>-631</v>
      </c>
      <c r="O25" s="19">
        <v>-5336</v>
      </c>
    </row>
    <row r="26" spans="1:15" x14ac:dyDescent="0.45">
      <c r="A26">
        <v>3002</v>
      </c>
      <c r="B26" t="s">
        <v>42</v>
      </c>
      <c r="C26" s="19">
        <v>-618</v>
      </c>
      <c r="D26" s="19">
        <v>-517</v>
      </c>
      <c r="E26" s="19">
        <v>-557</v>
      </c>
      <c r="F26" s="19">
        <v>-75</v>
      </c>
      <c r="G26" s="19">
        <v>-687</v>
      </c>
      <c r="H26" s="19">
        <v>-191</v>
      </c>
      <c r="I26" s="19">
        <v>-9</v>
      </c>
      <c r="J26" s="19">
        <v>-393</v>
      </c>
      <c r="K26" s="19">
        <v>-345</v>
      </c>
      <c r="L26" s="19">
        <v>-601</v>
      </c>
      <c r="M26" s="19">
        <v>-808</v>
      </c>
      <c r="N26" s="19">
        <v>-22</v>
      </c>
      <c r="O26" s="19">
        <v>-4823</v>
      </c>
    </row>
    <row r="27" spans="1:15" x14ac:dyDescent="0.45">
      <c r="A27">
        <v>3003</v>
      </c>
      <c r="B27" t="s">
        <v>43</v>
      </c>
      <c r="C27" s="19">
        <v>-301</v>
      </c>
      <c r="D27" s="19">
        <v>-257</v>
      </c>
      <c r="E27" s="19">
        <v>-328</v>
      </c>
      <c r="F27" s="19">
        <v>-43</v>
      </c>
      <c r="G27" s="19">
        <v>-73</v>
      </c>
      <c r="H27" s="19">
        <v>-604</v>
      </c>
      <c r="I27" s="19">
        <v>-418</v>
      </c>
      <c r="J27" s="19">
        <v>-205</v>
      </c>
      <c r="K27" s="19">
        <v>-494</v>
      </c>
      <c r="L27" s="19">
        <v>-714</v>
      </c>
      <c r="M27" s="19">
        <v>-583</v>
      </c>
      <c r="N27" s="19">
        <v>-618</v>
      </c>
      <c r="O27" s="19">
        <v>-4638</v>
      </c>
    </row>
    <row r="28" spans="1:15" x14ac:dyDescent="0.45">
      <c r="A28">
        <v>3004</v>
      </c>
      <c r="B28" t="s">
        <v>44</v>
      </c>
      <c r="C28" s="19">
        <v>-466</v>
      </c>
      <c r="D28" s="19">
        <v>-743</v>
      </c>
      <c r="E28" s="19">
        <v>-731</v>
      </c>
      <c r="F28" s="19">
        <v>-761</v>
      </c>
      <c r="G28" s="19">
        <v>-917</v>
      </c>
      <c r="H28" s="19">
        <v>-649</v>
      </c>
      <c r="I28" s="19">
        <v>-626</v>
      </c>
      <c r="J28" s="19">
        <v>-455</v>
      </c>
      <c r="K28" s="19">
        <v>-23</v>
      </c>
      <c r="L28" s="19">
        <v>-542</v>
      </c>
      <c r="M28" s="19">
        <v>-430</v>
      </c>
      <c r="N28" s="19">
        <v>-508</v>
      </c>
      <c r="O28" s="19">
        <v>-6851</v>
      </c>
    </row>
    <row r="29" spans="1:15" x14ac:dyDescent="0.45">
      <c r="A29">
        <v>3005</v>
      </c>
      <c r="B29" t="s">
        <v>45</v>
      </c>
      <c r="C29" s="19">
        <v>-465</v>
      </c>
      <c r="D29" s="19">
        <v>-81</v>
      </c>
      <c r="E29" s="19">
        <v>-589</v>
      </c>
      <c r="F29" s="19">
        <v>-92</v>
      </c>
      <c r="G29" s="19">
        <v>-285</v>
      </c>
      <c r="H29" s="19">
        <v>-492</v>
      </c>
      <c r="I29" s="19">
        <v>-225</v>
      </c>
      <c r="J29" s="19">
        <v>-942</v>
      </c>
      <c r="K29" s="19">
        <v>-553</v>
      </c>
      <c r="L29" s="19">
        <v>-83</v>
      </c>
      <c r="M29" s="19">
        <v>-563</v>
      </c>
      <c r="N29" s="19">
        <v>-330</v>
      </c>
      <c r="O29" s="19">
        <v>-4700</v>
      </c>
    </row>
    <row r="30" spans="1:15" x14ac:dyDescent="0.45">
      <c r="A30">
        <v>3006</v>
      </c>
      <c r="B30" t="s">
        <v>46</v>
      </c>
      <c r="C30" s="19">
        <v>-782</v>
      </c>
      <c r="D30" s="19">
        <v>-202</v>
      </c>
      <c r="E30" s="19">
        <v>-354</v>
      </c>
      <c r="F30" s="19">
        <v>-218</v>
      </c>
      <c r="G30" s="19">
        <v>-76</v>
      </c>
      <c r="H30" s="19">
        <v>-729</v>
      </c>
      <c r="I30" s="19">
        <v>-365</v>
      </c>
      <c r="J30" s="19">
        <v>-536</v>
      </c>
      <c r="K30" s="19">
        <v>-675</v>
      </c>
      <c r="L30" s="19">
        <v>-555</v>
      </c>
      <c r="M30" s="19">
        <v>-770</v>
      </c>
      <c r="N30" s="19">
        <v>-543</v>
      </c>
      <c r="O30" s="19">
        <v>-5805</v>
      </c>
    </row>
    <row r="31" spans="1:15" x14ac:dyDescent="0.45">
      <c r="A31">
        <v>3007</v>
      </c>
      <c r="B31" t="s">
        <v>47</v>
      </c>
      <c r="C31" s="19">
        <v>-840</v>
      </c>
      <c r="D31" s="19">
        <v>-31</v>
      </c>
      <c r="E31" s="19">
        <v>-560</v>
      </c>
      <c r="F31" s="19">
        <v>-14</v>
      </c>
      <c r="G31" s="19">
        <v>-278</v>
      </c>
      <c r="H31" s="19">
        <v>-323</v>
      </c>
      <c r="I31" s="19">
        <v>-221</v>
      </c>
      <c r="J31" s="19">
        <v>-15</v>
      </c>
      <c r="K31" s="19">
        <v>-17</v>
      </c>
      <c r="L31" s="19">
        <v>-529</v>
      </c>
      <c r="M31" s="19">
        <v>-319</v>
      </c>
      <c r="N31" s="19">
        <v>-22</v>
      </c>
      <c r="O31" s="19">
        <v>-3169</v>
      </c>
    </row>
    <row r="32" spans="1:15" x14ac:dyDescent="0.45">
      <c r="A32">
        <v>3008</v>
      </c>
      <c r="B32" t="s">
        <v>48</v>
      </c>
      <c r="C32" s="19">
        <v>-511</v>
      </c>
      <c r="D32" s="19">
        <v>-865</v>
      </c>
      <c r="E32" s="19">
        <v>-887</v>
      </c>
      <c r="F32" s="19">
        <v>-245</v>
      </c>
      <c r="G32" s="19">
        <v>-407</v>
      </c>
      <c r="H32" s="19">
        <v>-780</v>
      </c>
      <c r="I32" s="19">
        <v>-804</v>
      </c>
      <c r="J32" s="19">
        <v>-483</v>
      </c>
      <c r="K32" s="19">
        <v>-492</v>
      </c>
      <c r="L32" s="19">
        <v>-505</v>
      </c>
      <c r="M32" s="19">
        <v>-515</v>
      </c>
      <c r="N32" s="19">
        <v>-434</v>
      </c>
      <c r="O32" s="19">
        <v>-6928</v>
      </c>
    </row>
    <row r="33" spans="1:15" x14ac:dyDescent="0.45">
      <c r="A33">
        <v>3009</v>
      </c>
      <c r="B33" t="s">
        <v>49</v>
      </c>
      <c r="C33" s="19">
        <v>-913</v>
      </c>
      <c r="D33" s="19">
        <v>-704</v>
      </c>
      <c r="E33" s="19">
        <v>-645</v>
      </c>
      <c r="F33" s="19">
        <v>-553</v>
      </c>
      <c r="G33" s="19">
        <v>-279</v>
      </c>
      <c r="H33" s="19">
        <v>-90</v>
      </c>
      <c r="I33" s="19">
        <v>-88</v>
      </c>
      <c r="J33" s="19">
        <v>-802</v>
      </c>
      <c r="K33" s="19">
        <v>-475</v>
      </c>
      <c r="L33" s="19">
        <v>-972</v>
      </c>
      <c r="M33" s="19">
        <v>-686</v>
      </c>
      <c r="N33" s="19">
        <v>-959</v>
      </c>
      <c r="O33" s="19">
        <v>-7166</v>
      </c>
    </row>
    <row r="34" spans="1:15" x14ac:dyDescent="0.45">
      <c r="A34">
        <v>4001</v>
      </c>
      <c r="B34" t="s">
        <v>52</v>
      </c>
      <c r="C34" s="19">
        <v>-93</v>
      </c>
      <c r="D34" s="19">
        <v>-730</v>
      </c>
      <c r="E34" s="19">
        <v>-273</v>
      </c>
      <c r="F34" s="19">
        <v>-255</v>
      </c>
      <c r="G34" s="19">
        <v>-140</v>
      </c>
      <c r="H34" s="19">
        <v>-209</v>
      </c>
      <c r="I34" s="19">
        <v>-712</v>
      </c>
      <c r="J34" s="19">
        <v>-153</v>
      </c>
      <c r="K34" s="19">
        <v>-587</v>
      </c>
      <c r="L34" s="19">
        <v>-4</v>
      </c>
      <c r="M34" s="19">
        <v>-863</v>
      </c>
      <c r="N34" s="19">
        <v>-553</v>
      </c>
      <c r="O34" s="19">
        <v>-4572</v>
      </c>
    </row>
    <row r="35" spans="1:15" x14ac:dyDescent="0.45">
      <c r="A35">
        <v>4002</v>
      </c>
      <c r="B35" t="s">
        <v>53</v>
      </c>
      <c r="C35" s="19">
        <v>-514</v>
      </c>
      <c r="D35" s="19">
        <v>-813</v>
      </c>
      <c r="E35" s="19">
        <v>-446</v>
      </c>
      <c r="F35" s="19">
        <v>-204</v>
      </c>
      <c r="G35" s="19">
        <v>-670</v>
      </c>
      <c r="H35" s="19">
        <v>-761</v>
      </c>
      <c r="I35" s="19">
        <v>-374</v>
      </c>
      <c r="J35" s="19">
        <v>-83</v>
      </c>
      <c r="K35" s="19">
        <v>-307</v>
      </c>
      <c r="L35" s="19">
        <v>-702</v>
      </c>
      <c r="M35" s="19">
        <v>-104</v>
      </c>
      <c r="N35" s="19">
        <v>-21</v>
      </c>
      <c r="O35" s="19">
        <v>-4999</v>
      </c>
    </row>
    <row r="36" spans="1:15" x14ac:dyDescent="0.45">
      <c r="A36">
        <v>4003</v>
      </c>
      <c r="B36" t="s">
        <v>54</v>
      </c>
      <c r="C36" s="19">
        <v>-514</v>
      </c>
      <c r="D36" s="19">
        <v>-911</v>
      </c>
      <c r="E36" s="19">
        <v>-234</v>
      </c>
      <c r="F36" s="19">
        <v>-115</v>
      </c>
      <c r="G36" s="19">
        <v>-140</v>
      </c>
      <c r="H36" s="19">
        <v>-321</v>
      </c>
      <c r="I36" s="19">
        <v>-700</v>
      </c>
      <c r="J36" s="19">
        <v>-188</v>
      </c>
      <c r="K36" s="19">
        <v>-565</v>
      </c>
      <c r="L36" s="19">
        <v>-931</v>
      </c>
      <c r="M36" s="19">
        <v>-327</v>
      </c>
      <c r="N36" s="19">
        <v>-356</v>
      </c>
      <c r="O36" s="19">
        <v>-5302</v>
      </c>
    </row>
    <row r="37" spans="1:15" x14ac:dyDescent="0.45">
      <c r="A37">
        <v>5001</v>
      </c>
      <c r="B37" t="s">
        <v>57</v>
      </c>
      <c r="C37" s="19">
        <v>-41283</v>
      </c>
      <c r="D37" s="19">
        <v>-45441</v>
      </c>
      <c r="E37" s="19">
        <v>-38674</v>
      </c>
      <c r="F37" s="19">
        <v>-4200</v>
      </c>
      <c r="G37" s="19">
        <v>-26227</v>
      </c>
      <c r="H37" s="19">
        <v>-94048</v>
      </c>
      <c r="I37" s="19">
        <v>-60878</v>
      </c>
      <c r="J37" s="19">
        <v>-16040</v>
      </c>
      <c r="K37" s="19">
        <v>-94406</v>
      </c>
      <c r="L37" s="19">
        <v>-7584</v>
      </c>
      <c r="M37" s="19">
        <v>-96825</v>
      </c>
      <c r="N37" s="19">
        <v>-85994</v>
      </c>
      <c r="O37" s="19">
        <v>-611600</v>
      </c>
    </row>
    <row r="38" spans="1:15" x14ac:dyDescent="0.45">
      <c r="A38">
        <v>5002</v>
      </c>
      <c r="B38" t="s">
        <v>58</v>
      </c>
      <c r="C38" s="19">
        <v>-342</v>
      </c>
      <c r="D38" s="19">
        <v>-10988</v>
      </c>
      <c r="E38" s="19">
        <v>-95042</v>
      </c>
      <c r="F38" s="19">
        <v>-97088</v>
      </c>
      <c r="G38" s="19">
        <v>-59143</v>
      </c>
      <c r="H38" s="19">
        <v>-84</v>
      </c>
      <c r="I38" s="19">
        <v>-15899</v>
      </c>
      <c r="J38" s="19">
        <v>-57619</v>
      </c>
      <c r="K38" s="19">
        <v>-74242</v>
      </c>
      <c r="L38" s="19">
        <v>-92138</v>
      </c>
      <c r="M38" s="19">
        <v>-21972</v>
      </c>
      <c r="N38" s="19">
        <v>-99375</v>
      </c>
      <c r="O38" s="19">
        <v>-623932</v>
      </c>
    </row>
    <row r="39" spans="1:15" x14ac:dyDescent="0.45">
      <c r="A39">
        <v>5003</v>
      </c>
      <c r="B39" t="s">
        <v>59</v>
      </c>
      <c r="C39" s="19">
        <v>-83592</v>
      </c>
      <c r="D39" s="19">
        <v>-958</v>
      </c>
      <c r="E39" s="19">
        <v>-50491</v>
      </c>
      <c r="F39" s="19">
        <v>-7657</v>
      </c>
      <c r="G39" s="19">
        <v>-75372</v>
      </c>
      <c r="H39" s="19">
        <v>-91057</v>
      </c>
      <c r="I39" s="19">
        <v>-68882</v>
      </c>
      <c r="J39" s="19">
        <v>-23967</v>
      </c>
      <c r="K39" s="19">
        <v>-42046</v>
      </c>
      <c r="L39" s="19">
        <v>-34545</v>
      </c>
      <c r="M39" s="19">
        <v>-25882</v>
      </c>
      <c r="N39" s="19">
        <v>-21123</v>
      </c>
      <c r="O39" s="19">
        <v>-525572</v>
      </c>
    </row>
    <row r="40" spans="1:15" x14ac:dyDescent="0.45">
      <c r="A40">
        <v>5004</v>
      </c>
      <c r="B40" t="s">
        <v>60</v>
      </c>
      <c r="C40" s="19">
        <v>-42533</v>
      </c>
      <c r="D40" s="19">
        <v>-48483</v>
      </c>
      <c r="E40" s="19">
        <v>-40741</v>
      </c>
      <c r="F40" s="19">
        <v>-42860</v>
      </c>
      <c r="G40" s="19">
        <v>-46074</v>
      </c>
      <c r="H40" s="19">
        <v>-73465</v>
      </c>
      <c r="I40" s="19">
        <v>-92078</v>
      </c>
      <c r="J40" s="19">
        <v>-46031</v>
      </c>
      <c r="K40" s="19">
        <v>-13914</v>
      </c>
      <c r="L40" s="19">
        <v>-28649</v>
      </c>
      <c r="M40" s="19">
        <v>-12458</v>
      </c>
      <c r="N40" s="19">
        <v>-7726</v>
      </c>
      <c r="O40" s="19">
        <v>-495012</v>
      </c>
    </row>
    <row r="41" spans="1:15" x14ac:dyDescent="0.45">
      <c r="A41">
        <v>5005</v>
      </c>
      <c r="B41" t="s">
        <v>61</v>
      </c>
      <c r="C41" s="19">
        <v>-16856</v>
      </c>
      <c r="D41" s="19">
        <v>-83432</v>
      </c>
      <c r="E41" s="19">
        <v>-95985</v>
      </c>
      <c r="F41" s="19">
        <v>-94991</v>
      </c>
      <c r="G41" s="19">
        <v>-23527</v>
      </c>
      <c r="H41" s="19">
        <v>-66014</v>
      </c>
      <c r="I41" s="19">
        <v>-86047</v>
      </c>
      <c r="J41" s="19">
        <v>-44565</v>
      </c>
      <c r="K41" s="19">
        <v>-38265</v>
      </c>
      <c r="L41" s="19">
        <v>-89289</v>
      </c>
      <c r="M41" s="19">
        <v>-7644</v>
      </c>
      <c r="N41" s="19">
        <v>-5664</v>
      </c>
      <c r="O41" s="19">
        <v>-652279</v>
      </c>
    </row>
    <row r="42" spans="1:15" x14ac:dyDescent="0.45">
      <c r="A42">
        <v>5006</v>
      </c>
      <c r="B42" t="s">
        <v>62</v>
      </c>
      <c r="C42" s="19">
        <v>-60199</v>
      </c>
      <c r="D42" s="19">
        <v>-72316</v>
      </c>
      <c r="E42" s="19">
        <v>-98858</v>
      </c>
      <c r="F42" s="19">
        <v>-50987</v>
      </c>
      <c r="G42" s="19">
        <v>-87684</v>
      </c>
      <c r="H42" s="19">
        <v>-43849</v>
      </c>
      <c r="I42" s="19">
        <v>-8992</v>
      </c>
      <c r="J42" s="19">
        <v>-872</v>
      </c>
      <c r="K42" s="19">
        <v>-2320</v>
      </c>
      <c r="L42" s="19">
        <v>-43746</v>
      </c>
      <c r="M42" s="19">
        <v>-63606</v>
      </c>
      <c r="N42" s="19">
        <v>-23603</v>
      </c>
      <c r="O42" s="19">
        <v>-557032</v>
      </c>
    </row>
    <row r="43" spans="1:15" x14ac:dyDescent="0.45">
      <c r="A43">
        <v>5007</v>
      </c>
      <c r="B43" t="s">
        <v>63</v>
      </c>
      <c r="C43" s="19">
        <v>-46039</v>
      </c>
      <c r="D43" s="19">
        <v>-69752</v>
      </c>
      <c r="E43" s="19">
        <v>-57658</v>
      </c>
      <c r="F43" s="19">
        <v>-22902</v>
      </c>
      <c r="G43" s="19">
        <v>-94122</v>
      </c>
      <c r="H43" s="19">
        <v>-93792</v>
      </c>
      <c r="I43" s="19">
        <v>-53293</v>
      </c>
      <c r="J43" s="19">
        <v>-93581</v>
      </c>
      <c r="K43" s="19">
        <v>-9739</v>
      </c>
      <c r="L43" s="19">
        <v>-79835</v>
      </c>
      <c r="M43" s="19">
        <v>-61783</v>
      </c>
      <c r="N43" s="19">
        <v>-86621</v>
      </c>
      <c r="O43" s="19">
        <v>-769117</v>
      </c>
    </row>
    <row r="44" spans="1:15" x14ac:dyDescent="0.45">
      <c r="A44">
        <v>5008</v>
      </c>
      <c r="B44" t="s">
        <v>64</v>
      </c>
      <c r="C44" s="19">
        <v>-15221</v>
      </c>
      <c r="D44" s="19">
        <v>-77901</v>
      </c>
      <c r="E44" s="19">
        <v>-63361</v>
      </c>
      <c r="F44" s="19">
        <v>-58662</v>
      </c>
      <c r="G44" s="19">
        <v>-60589</v>
      </c>
      <c r="H44" s="19">
        <v>-60600</v>
      </c>
      <c r="I44" s="19">
        <v>-36703</v>
      </c>
      <c r="J44" s="19">
        <v>-84065</v>
      </c>
      <c r="K44" s="19">
        <v>-22642</v>
      </c>
      <c r="L44" s="19">
        <v>-29612</v>
      </c>
      <c r="M44" s="19">
        <v>-36309</v>
      </c>
      <c r="N44" s="19">
        <v>-78350</v>
      </c>
      <c r="O44" s="19">
        <v>-624015</v>
      </c>
    </row>
    <row r="45" spans="1:15" x14ac:dyDescent="0.45">
      <c r="A45">
        <v>5009</v>
      </c>
      <c r="B45" t="s">
        <v>65</v>
      </c>
      <c r="C45" s="19">
        <v>-26669</v>
      </c>
      <c r="D45" s="19">
        <v>-49493</v>
      </c>
      <c r="E45" s="19">
        <v>-74859</v>
      </c>
      <c r="F45" s="19">
        <v>-6091</v>
      </c>
      <c r="G45" s="19">
        <v>-93417</v>
      </c>
      <c r="H45" s="19">
        <v>-13322</v>
      </c>
      <c r="I45" s="19">
        <v>-14179</v>
      </c>
      <c r="J45" s="19">
        <v>-87126</v>
      </c>
      <c r="K45" s="19">
        <v>-74981</v>
      </c>
      <c r="L45" s="19">
        <v>-25265</v>
      </c>
      <c r="M45" s="19">
        <v>-44480</v>
      </c>
      <c r="N45" s="19">
        <v>-72023</v>
      </c>
      <c r="O45" s="19">
        <v>-581905</v>
      </c>
    </row>
    <row r="46" spans="1:15" x14ac:dyDescent="0.45">
      <c r="A46">
        <v>6002</v>
      </c>
      <c r="B46" t="s">
        <v>68</v>
      </c>
      <c r="C46" s="19">
        <v>-749</v>
      </c>
      <c r="D46" s="19">
        <v>-794</v>
      </c>
      <c r="E46" s="19">
        <v>-790</v>
      </c>
      <c r="F46" s="19">
        <v>-803</v>
      </c>
      <c r="G46" s="19">
        <v>-291</v>
      </c>
      <c r="H46" s="19">
        <v>-853</v>
      </c>
      <c r="I46" s="19">
        <v>-694</v>
      </c>
      <c r="J46" s="19">
        <v>-832</v>
      </c>
      <c r="K46" s="19">
        <v>-813</v>
      </c>
      <c r="L46" s="19">
        <v>-332</v>
      </c>
      <c r="M46" s="19">
        <v>-313</v>
      </c>
      <c r="N46" s="19">
        <v>-677</v>
      </c>
      <c r="O46" s="19">
        <v>-7941</v>
      </c>
    </row>
    <row r="47" spans="1:15" x14ac:dyDescent="0.45">
      <c r="A47">
        <v>6003</v>
      </c>
      <c r="B47" t="s">
        <v>69</v>
      </c>
      <c r="C47" s="19">
        <v>-411</v>
      </c>
      <c r="D47" s="19">
        <v>-497</v>
      </c>
      <c r="E47" s="19">
        <v>-553</v>
      </c>
      <c r="F47" s="19">
        <v>-121</v>
      </c>
      <c r="G47" s="19">
        <v>-49</v>
      </c>
      <c r="H47" s="19">
        <v>-224</v>
      </c>
      <c r="I47" s="19">
        <v>-245</v>
      </c>
      <c r="J47" s="19">
        <v>-37</v>
      </c>
      <c r="K47" s="19">
        <v>-745</v>
      </c>
      <c r="L47" s="19">
        <v>-136</v>
      </c>
      <c r="M47" s="19">
        <v>-704</v>
      </c>
      <c r="N47" s="19">
        <v>-565</v>
      </c>
      <c r="O47" s="19">
        <v>-4287</v>
      </c>
    </row>
    <row r="48" spans="1:15" x14ac:dyDescent="0.45">
      <c r="A48">
        <v>6004</v>
      </c>
      <c r="B48" t="s">
        <v>70</v>
      </c>
      <c r="C48" s="19">
        <v>-897</v>
      </c>
      <c r="D48" s="19">
        <v>-668</v>
      </c>
      <c r="E48" s="19">
        <v>-98</v>
      </c>
      <c r="F48" s="19">
        <v>-926</v>
      </c>
      <c r="G48" s="19">
        <v>-712</v>
      </c>
      <c r="H48" s="19">
        <v>-879</v>
      </c>
      <c r="I48" s="19">
        <v>-370</v>
      </c>
      <c r="J48" s="19">
        <v>-992</v>
      </c>
      <c r="K48" s="19">
        <v>-584</v>
      </c>
      <c r="L48" s="19">
        <v>-165</v>
      </c>
      <c r="M48" s="19">
        <v>-465</v>
      </c>
      <c r="N48" s="19">
        <v>-439</v>
      </c>
      <c r="O48" s="19">
        <v>-7195</v>
      </c>
    </row>
    <row r="49" spans="1:15" x14ac:dyDescent="0.45">
      <c r="A49">
        <v>6005</v>
      </c>
      <c r="B49" t="s">
        <v>71</v>
      </c>
      <c r="C49" s="19">
        <v>-365</v>
      </c>
      <c r="D49" s="19">
        <v>-223</v>
      </c>
      <c r="E49" s="19">
        <v>-392</v>
      </c>
      <c r="F49" s="19">
        <v>-155</v>
      </c>
      <c r="G49" s="19">
        <v>-105</v>
      </c>
      <c r="H49" s="19">
        <v>-368</v>
      </c>
      <c r="I49" s="19">
        <v>-119</v>
      </c>
      <c r="J49" s="19">
        <v>-931</v>
      </c>
      <c r="K49" s="19">
        <v>-777</v>
      </c>
      <c r="L49" s="19">
        <v>-248</v>
      </c>
      <c r="M49" s="19">
        <v>-963</v>
      </c>
      <c r="N49" s="19">
        <v>-878</v>
      </c>
      <c r="O49" s="19">
        <v>-5524</v>
      </c>
    </row>
    <row r="50" spans="1:15" x14ac:dyDescent="0.45">
      <c r="A50">
        <v>6006</v>
      </c>
      <c r="B50" t="s">
        <v>72</v>
      </c>
      <c r="C50" s="19">
        <v>-583</v>
      </c>
      <c r="D50" s="19">
        <v>-144</v>
      </c>
      <c r="E50" s="19">
        <v>-573</v>
      </c>
      <c r="F50" s="19">
        <v>-668</v>
      </c>
      <c r="G50" s="19">
        <v>-897</v>
      </c>
      <c r="H50" s="19">
        <v>-404</v>
      </c>
      <c r="I50" s="19">
        <v>-464</v>
      </c>
      <c r="J50" s="19">
        <v>-338</v>
      </c>
      <c r="K50" s="19">
        <v>-923</v>
      </c>
      <c r="L50" s="19">
        <v>-828</v>
      </c>
      <c r="M50" s="19">
        <v>-565</v>
      </c>
      <c r="N50" s="19">
        <v>-752</v>
      </c>
      <c r="O50" s="19">
        <v>-7139</v>
      </c>
    </row>
    <row r="51" spans="1:15" x14ac:dyDescent="0.45">
      <c r="A51" t="s">
        <v>210</v>
      </c>
      <c r="C51" s="19">
        <v>504550.22499999998</v>
      </c>
      <c r="D51" s="19">
        <v>47290.875</v>
      </c>
      <c r="E51" s="19">
        <v>200339.02499999991</v>
      </c>
      <c r="F51" s="19">
        <v>951333.42499999981</v>
      </c>
      <c r="G51" s="19">
        <v>124385.09999999998</v>
      </c>
      <c r="H51" s="19">
        <v>303811.50000000012</v>
      </c>
      <c r="I51" s="19">
        <v>418954.10000000009</v>
      </c>
      <c r="J51" s="19">
        <v>110420.34999999998</v>
      </c>
      <c r="K51" s="19">
        <v>480713.17500000005</v>
      </c>
      <c r="L51" s="19">
        <v>971798.3</v>
      </c>
      <c r="M51" s="19">
        <v>157441.375</v>
      </c>
      <c r="N51" s="19">
        <v>400481.75</v>
      </c>
      <c r="O51" s="19">
        <v>4671519.1999999993</v>
      </c>
    </row>
  </sheetData>
  <pageMargins left="0.7" right="0.7" top="0.75" bottom="0.75" header="0.3" footer="0.3"/>
  <drawing r:id="rId2"/>
  <extLst>
    <ext xmlns:x14="http://schemas.microsoft.com/office/spreadsheetml/2009/9/main" uri="{A8765BA9-456A-4dab-B4F3-ACF838C121DE}">
      <x14:slicerList>
        <x14:slicer r:id="rId3"/>
      </x14:slicerList>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BA6A2C9-D1B6-4BF5-8835-129604552148}">
  <sheetPr codeName="Sheet3">
    <tabColor rgb="FF0070C0"/>
  </sheetPr>
  <dimension ref="A1:D517"/>
  <sheetViews>
    <sheetView showGridLines="0" zoomScale="90" zoomScaleNormal="90" workbookViewId="0"/>
  </sheetViews>
  <sheetFormatPr defaultRowHeight="14.25" x14ac:dyDescent="0.45"/>
  <cols>
    <col min="1" max="1" width="11.3984375" bestFit="1" customWidth="1"/>
    <col min="2" max="2" width="13.1328125" bestFit="1" customWidth="1"/>
    <col min="3" max="3" width="43.73046875" bestFit="1" customWidth="1"/>
    <col min="4" max="4" width="11.59765625" bestFit="1" customWidth="1"/>
  </cols>
  <sheetData>
    <row r="1" spans="1:4" x14ac:dyDescent="0.45">
      <c r="A1" t="s">
        <v>213</v>
      </c>
      <c r="B1" t="s">
        <v>208</v>
      </c>
      <c r="C1" t="s">
        <v>76</v>
      </c>
      <c r="D1" t="s">
        <v>211</v>
      </c>
    </row>
    <row r="2" spans="1:4" x14ac:dyDescent="0.45">
      <c r="A2" s="15">
        <v>43101</v>
      </c>
      <c r="B2">
        <v>2001</v>
      </c>
      <c r="C2" t="s">
        <v>22</v>
      </c>
      <c r="D2" s="19">
        <v>379</v>
      </c>
    </row>
    <row r="3" spans="1:4" x14ac:dyDescent="0.45">
      <c r="A3" s="15">
        <v>43101</v>
      </c>
      <c r="B3">
        <v>2002</v>
      </c>
      <c r="C3" t="s">
        <v>23</v>
      </c>
      <c r="D3" s="19">
        <v>750</v>
      </c>
    </row>
    <row r="4" spans="1:4" x14ac:dyDescent="0.45">
      <c r="A4" s="15">
        <v>43101</v>
      </c>
      <c r="B4">
        <v>2003</v>
      </c>
      <c r="C4" t="s">
        <v>24</v>
      </c>
      <c r="D4" s="19">
        <v>484</v>
      </c>
    </row>
    <row r="5" spans="1:4" x14ac:dyDescent="0.45">
      <c r="A5" s="15">
        <v>43101</v>
      </c>
      <c r="B5">
        <v>2004</v>
      </c>
      <c r="C5" t="s">
        <v>25</v>
      </c>
      <c r="D5" s="19">
        <v>154</v>
      </c>
    </row>
    <row r="6" spans="1:4" x14ac:dyDescent="0.45">
      <c r="A6" s="15">
        <v>43101</v>
      </c>
      <c r="B6">
        <v>2005</v>
      </c>
      <c r="C6" t="s">
        <v>26</v>
      </c>
      <c r="D6" s="19">
        <v>199</v>
      </c>
    </row>
    <row r="7" spans="1:4" x14ac:dyDescent="0.45">
      <c r="A7" s="15">
        <v>43101</v>
      </c>
      <c r="B7">
        <v>2006</v>
      </c>
      <c r="C7" t="s">
        <v>27</v>
      </c>
      <c r="D7" s="19">
        <v>245</v>
      </c>
    </row>
    <row r="8" spans="1:4" x14ac:dyDescent="0.45">
      <c r="A8" s="15">
        <v>43101</v>
      </c>
      <c r="B8">
        <v>2007</v>
      </c>
      <c r="C8" t="s">
        <v>28</v>
      </c>
      <c r="D8" s="19">
        <v>575</v>
      </c>
    </row>
    <row r="9" spans="1:4" x14ac:dyDescent="0.45">
      <c r="A9" s="15">
        <v>43101</v>
      </c>
      <c r="B9">
        <v>2008</v>
      </c>
      <c r="C9" t="s">
        <v>29</v>
      </c>
      <c r="D9" s="19">
        <v>303</v>
      </c>
    </row>
    <row r="10" spans="1:4" x14ac:dyDescent="0.45">
      <c r="A10" s="15">
        <v>43101</v>
      </c>
      <c r="B10">
        <v>2009</v>
      </c>
      <c r="C10" t="s">
        <v>30</v>
      </c>
      <c r="D10" s="19">
        <v>348</v>
      </c>
    </row>
    <row r="11" spans="1:4" x14ac:dyDescent="0.45">
      <c r="A11" s="15">
        <v>43101</v>
      </c>
      <c r="B11">
        <v>2010</v>
      </c>
      <c r="C11" t="s">
        <v>31</v>
      </c>
      <c r="D11" s="19">
        <v>177</v>
      </c>
    </row>
    <row r="12" spans="1:4" x14ac:dyDescent="0.45">
      <c r="A12" s="15">
        <v>43101</v>
      </c>
      <c r="B12">
        <v>2011</v>
      </c>
      <c r="C12" t="s">
        <v>32</v>
      </c>
      <c r="D12" s="19">
        <v>554</v>
      </c>
    </row>
    <row r="13" spans="1:4" x14ac:dyDescent="0.45">
      <c r="A13" s="15">
        <v>43101</v>
      </c>
      <c r="B13">
        <v>2012</v>
      </c>
      <c r="C13" t="s">
        <v>33</v>
      </c>
      <c r="D13" s="19">
        <v>877</v>
      </c>
    </row>
    <row r="14" spans="1:4" x14ac:dyDescent="0.45">
      <c r="A14" s="15">
        <v>43101</v>
      </c>
      <c r="B14">
        <v>2013</v>
      </c>
      <c r="C14" t="s">
        <v>34</v>
      </c>
      <c r="D14" s="19">
        <v>595</v>
      </c>
    </row>
    <row r="15" spans="1:4" x14ac:dyDescent="0.45">
      <c r="A15" s="15">
        <v>43101</v>
      </c>
      <c r="B15">
        <v>2014</v>
      </c>
      <c r="C15" t="s">
        <v>35</v>
      </c>
      <c r="D15" s="19">
        <v>626</v>
      </c>
    </row>
    <row r="16" spans="1:4" x14ac:dyDescent="0.45">
      <c r="A16" s="15">
        <v>43101</v>
      </c>
      <c r="B16">
        <v>2015</v>
      </c>
      <c r="C16" t="s">
        <v>36</v>
      </c>
      <c r="D16" s="19">
        <v>659</v>
      </c>
    </row>
    <row r="17" spans="1:4" x14ac:dyDescent="0.45">
      <c r="A17" s="15">
        <v>43101</v>
      </c>
      <c r="B17">
        <v>2016</v>
      </c>
      <c r="C17" t="s">
        <v>37</v>
      </c>
      <c r="D17" s="19">
        <v>435</v>
      </c>
    </row>
    <row r="18" spans="1:4" x14ac:dyDescent="0.45">
      <c r="A18" s="15">
        <v>43101</v>
      </c>
      <c r="B18">
        <v>2017</v>
      </c>
      <c r="C18" t="s">
        <v>38</v>
      </c>
      <c r="D18" s="19">
        <v>359</v>
      </c>
    </row>
    <row r="19" spans="1:4" x14ac:dyDescent="0.45">
      <c r="A19" s="15">
        <v>43101</v>
      </c>
      <c r="B19">
        <v>3001</v>
      </c>
      <c r="C19" t="s">
        <v>41</v>
      </c>
      <c r="D19" s="19">
        <v>317</v>
      </c>
    </row>
    <row r="20" spans="1:4" x14ac:dyDescent="0.45">
      <c r="A20" s="15">
        <v>43101</v>
      </c>
      <c r="B20">
        <v>3002</v>
      </c>
      <c r="C20" t="s">
        <v>42</v>
      </c>
      <c r="D20" s="19">
        <v>618</v>
      </c>
    </row>
    <row r="21" spans="1:4" x14ac:dyDescent="0.45">
      <c r="A21" s="15">
        <v>43101</v>
      </c>
      <c r="B21">
        <v>3003</v>
      </c>
      <c r="C21" t="s">
        <v>43</v>
      </c>
      <c r="D21" s="19">
        <v>301</v>
      </c>
    </row>
    <row r="22" spans="1:4" x14ac:dyDescent="0.45">
      <c r="A22" s="15">
        <v>43101</v>
      </c>
      <c r="B22">
        <v>3004</v>
      </c>
      <c r="C22" t="s">
        <v>44</v>
      </c>
      <c r="D22" s="19">
        <v>466</v>
      </c>
    </row>
    <row r="23" spans="1:4" x14ac:dyDescent="0.45">
      <c r="A23" s="15">
        <v>43101</v>
      </c>
      <c r="B23">
        <v>3005</v>
      </c>
      <c r="C23" t="s">
        <v>45</v>
      </c>
      <c r="D23" s="19">
        <v>465</v>
      </c>
    </row>
    <row r="24" spans="1:4" x14ac:dyDescent="0.45">
      <c r="A24" s="15">
        <v>43101</v>
      </c>
      <c r="B24">
        <v>3006</v>
      </c>
      <c r="C24" t="s">
        <v>46</v>
      </c>
      <c r="D24" s="19">
        <v>782</v>
      </c>
    </row>
    <row r="25" spans="1:4" x14ac:dyDescent="0.45">
      <c r="A25" s="15">
        <v>43101</v>
      </c>
      <c r="B25">
        <v>3007</v>
      </c>
      <c r="C25" t="s">
        <v>47</v>
      </c>
      <c r="D25" s="19">
        <v>840</v>
      </c>
    </row>
    <row r="26" spans="1:4" x14ac:dyDescent="0.45">
      <c r="A26" s="15">
        <v>43101</v>
      </c>
      <c r="B26">
        <v>3008</v>
      </c>
      <c r="C26" t="s">
        <v>48</v>
      </c>
      <c r="D26" s="19">
        <v>511</v>
      </c>
    </row>
    <row r="27" spans="1:4" x14ac:dyDescent="0.45">
      <c r="A27" s="15">
        <v>43101</v>
      </c>
      <c r="B27">
        <v>3009</v>
      </c>
      <c r="C27" t="s">
        <v>49</v>
      </c>
      <c r="D27" s="19">
        <v>913</v>
      </c>
    </row>
    <row r="28" spans="1:4" x14ac:dyDescent="0.45">
      <c r="A28" s="15">
        <v>43101</v>
      </c>
      <c r="B28">
        <v>4001</v>
      </c>
      <c r="C28" t="s">
        <v>52</v>
      </c>
      <c r="D28" s="19">
        <v>93</v>
      </c>
    </row>
    <row r="29" spans="1:4" x14ac:dyDescent="0.45">
      <c r="A29" s="15">
        <v>43101</v>
      </c>
      <c r="B29">
        <v>4002</v>
      </c>
      <c r="C29" t="s">
        <v>53</v>
      </c>
      <c r="D29" s="19">
        <v>514</v>
      </c>
    </row>
    <row r="30" spans="1:4" x14ac:dyDescent="0.45">
      <c r="A30" s="15">
        <v>43101</v>
      </c>
      <c r="B30">
        <v>4003</v>
      </c>
      <c r="C30" t="s">
        <v>54</v>
      </c>
      <c r="D30" s="19">
        <v>514</v>
      </c>
    </row>
    <row r="31" spans="1:4" x14ac:dyDescent="0.45">
      <c r="A31" s="15">
        <v>43101</v>
      </c>
      <c r="B31">
        <v>5001</v>
      </c>
      <c r="C31" t="s">
        <v>57</v>
      </c>
      <c r="D31" s="19">
        <v>41283</v>
      </c>
    </row>
    <row r="32" spans="1:4" x14ac:dyDescent="0.45">
      <c r="A32" s="15">
        <v>43101</v>
      </c>
      <c r="B32">
        <v>5002</v>
      </c>
      <c r="C32" t="s">
        <v>58</v>
      </c>
      <c r="D32" s="19">
        <v>342</v>
      </c>
    </row>
    <row r="33" spans="1:4" x14ac:dyDescent="0.45">
      <c r="A33" s="15">
        <v>43101</v>
      </c>
      <c r="B33">
        <v>5003</v>
      </c>
      <c r="C33" t="s">
        <v>59</v>
      </c>
      <c r="D33" s="19">
        <v>83592</v>
      </c>
    </row>
    <row r="34" spans="1:4" x14ac:dyDescent="0.45">
      <c r="A34" s="15">
        <v>43101</v>
      </c>
      <c r="B34">
        <v>5004</v>
      </c>
      <c r="C34" t="s">
        <v>60</v>
      </c>
      <c r="D34" s="19">
        <v>42533</v>
      </c>
    </row>
    <row r="35" spans="1:4" x14ac:dyDescent="0.45">
      <c r="A35" s="15">
        <v>43101</v>
      </c>
      <c r="B35">
        <v>5005</v>
      </c>
      <c r="C35" t="s">
        <v>61</v>
      </c>
      <c r="D35" s="19">
        <v>16856</v>
      </c>
    </row>
    <row r="36" spans="1:4" x14ac:dyDescent="0.45">
      <c r="A36" s="15">
        <v>43101</v>
      </c>
      <c r="B36">
        <v>5006</v>
      </c>
      <c r="C36" t="s">
        <v>62</v>
      </c>
      <c r="D36" s="19">
        <v>60199</v>
      </c>
    </row>
    <row r="37" spans="1:4" x14ac:dyDescent="0.45">
      <c r="A37" s="15">
        <v>43101</v>
      </c>
      <c r="B37">
        <v>5007</v>
      </c>
      <c r="C37" t="s">
        <v>63</v>
      </c>
      <c r="D37" s="19">
        <v>46039</v>
      </c>
    </row>
    <row r="38" spans="1:4" x14ac:dyDescent="0.45">
      <c r="A38" s="15">
        <v>43101</v>
      </c>
      <c r="B38">
        <v>5008</v>
      </c>
      <c r="C38" t="s">
        <v>64</v>
      </c>
      <c r="D38" s="19">
        <v>15221</v>
      </c>
    </row>
    <row r="39" spans="1:4" x14ac:dyDescent="0.45">
      <c r="A39" s="15">
        <v>43101</v>
      </c>
      <c r="B39">
        <v>5009</v>
      </c>
      <c r="C39" t="s">
        <v>65</v>
      </c>
      <c r="D39" s="19">
        <v>26669</v>
      </c>
    </row>
    <row r="40" spans="1:4" x14ac:dyDescent="0.45">
      <c r="A40" s="15">
        <v>43101</v>
      </c>
      <c r="B40">
        <v>6002</v>
      </c>
      <c r="C40" t="s">
        <v>68</v>
      </c>
      <c r="D40" s="19">
        <v>749</v>
      </c>
    </row>
    <row r="41" spans="1:4" x14ac:dyDescent="0.45">
      <c r="A41" s="15">
        <v>43101</v>
      </c>
      <c r="B41">
        <v>6003</v>
      </c>
      <c r="C41" t="s">
        <v>69</v>
      </c>
      <c r="D41" s="19">
        <v>411</v>
      </c>
    </row>
    <row r="42" spans="1:4" x14ac:dyDescent="0.45">
      <c r="A42" s="15">
        <v>43101</v>
      </c>
      <c r="B42">
        <v>6004</v>
      </c>
      <c r="C42" t="s">
        <v>70</v>
      </c>
      <c r="D42" s="19">
        <v>897</v>
      </c>
    </row>
    <row r="43" spans="1:4" x14ac:dyDescent="0.45">
      <c r="A43" s="15">
        <v>43101</v>
      </c>
      <c r="B43">
        <v>6005</v>
      </c>
      <c r="C43" t="s">
        <v>71</v>
      </c>
      <c r="D43" s="19">
        <v>365</v>
      </c>
    </row>
    <row r="44" spans="1:4" x14ac:dyDescent="0.45">
      <c r="A44" s="15">
        <v>43101</v>
      </c>
      <c r="B44">
        <v>6006</v>
      </c>
      <c r="C44" t="s">
        <v>72</v>
      </c>
      <c r="D44" s="19">
        <v>583</v>
      </c>
    </row>
    <row r="45" spans="1:4" x14ac:dyDescent="0.45">
      <c r="A45" s="15">
        <v>43132</v>
      </c>
      <c r="B45">
        <v>2001</v>
      </c>
      <c r="C45" t="s">
        <v>22</v>
      </c>
      <c r="D45" s="19">
        <v>475</v>
      </c>
    </row>
    <row r="46" spans="1:4" x14ac:dyDescent="0.45">
      <c r="A46" s="15">
        <v>43132</v>
      </c>
      <c r="B46">
        <v>2002</v>
      </c>
      <c r="C46" t="s">
        <v>23</v>
      </c>
      <c r="D46" s="19">
        <v>331</v>
      </c>
    </row>
    <row r="47" spans="1:4" x14ac:dyDescent="0.45">
      <c r="A47" s="15">
        <v>43132</v>
      </c>
      <c r="B47">
        <v>2003</v>
      </c>
      <c r="C47" t="s">
        <v>24</v>
      </c>
      <c r="D47" s="19">
        <v>383</v>
      </c>
    </row>
    <row r="48" spans="1:4" x14ac:dyDescent="0.45">
      <c r="A48" s="15">
        <v>43132</v>
      </c>
      <c r="B48">
        <v>2004</v>
      </c>
      <c r="C48" t="s">
        <v>25</v>
      </c>
      <c r="D48" s="19">
        <v>610</v>
      </c>
    </row>
    <row r="49" spans="1:4" x14ac:dyDescent="0.45">
      <c r="A49" s="15">
        <v>43132</v>
      </c>
      <c r="B49">
        <v>2005</v>
      </c>
      <c r="C49" t="s">
        <v>26</v>
      </c>
      <c r="D49" s="19">
        <v>239</v>
      </c>
    </row>
    <row r="50" spans="1:4" x14ac:dyDescent="0.45">
      <c r="A50" s="15">
        <v>43132</v>
      </c>
      <c r="B50">
        <v>2006</v>
      </c>
      <c r="C50" t="s">
        <v>27</v>
      </c>
      <c r="D50" s="19">
        <v>599</v>
      </c>
    </row>
    <row r="51" spans="1:4" x14ac:dyDescent="0.45">
      <c r="A51" s="15">
        <v>43132</v>
      </c>
      <c r="B51">
        <v>2007</v>
      </c>
      <c r="C51" t="s">
        <v>28</v>
      </c>
      <c r="D51" s="19">
        <v>484</v>
      </c>
    </row>
    <row r="52" spans="1:4" x14ac:dyDescent="0.45">
      <c r="A52" s="15">
        <v>43132</v>
      </c>
      <c r="B52">
        <v>2008</v>
      </c>
      <c r="C52" t="s">
        <v>29</v>
      </c>
      <c r="D52" s="19">
        <v>21</v>
      </c>
    </row>
    <row r="53" spans="1:4" x14ac:dyDescent="0.45">
      <c r="A53" s="15">
        <v>43132</v>
      </c>
      <c r="B53">
        <v>2009</v>
      </c>
      <c r="C53" t="s">
        <v>30</v>
      </c>
      <c r="D53" s="19">
        <v>97</v>
      </c>
    </row>
    <row r="54" spans="1:4" x14ac:dyDescent="0.45">
      <c r="A54" s="15">
        <v>43132</v>
      </c>
      <c r="B54">
        <v>2010</v>
      </c>
      <c r="C54" t="s">
        <v>31</v>
      </c>
      <c r="D54" s="19">
        <v>183</v>
      </c>
    </row>
    <row r="55" spans="1:4" x14ac:dyDescent="0.45">
      <c r="A55" s="15">
        <v>43132</v>
      </c>
      <c r="B55">
        <v>2011</v>
      </c>
      <c r="C55" t="s">
        <v>32</v>
      </c>
      <c r="D55" s="19">
        <v>938</v>
      </c>
    </row>
    <row r="56" spans="1:4" x14ac:dyDescent="0.45">
      <c r="A56" s="15">
        <v>43132</v>
      </c>
      <c r="B56">
        <v>2012</v>
      </c>
      <c r="C56" t="s">
        <v>33</v>
      </c>
      <c r="D56" s="19">
        <v>378</v>
      </c>
    </row>
    <row r="57" spans="1:4" x14ac:dyDescent="0.45">
      <c r="A57" s="15">
        <v>43132</v>
      </c>
      <c r="B57">
        <v>2013</v>
      </c>
      <c r="C57" t="s">
        <v>34</v>
      </c>
      <c r="D57" s="19">
        <v>492</v>
      </c>
    </row>
    <row r="58" spans="1:4" x14ac:dyDescent="0.45">
      <c r="A58" s="15">
        <v>43132</v>
      </c>
      <c r="B58">
        <v>2014</v>
      </c>
      <c r="C58" t="s">
        <v>35</v>
      </c>
      <c r="D58" s="19">
        <v>187</v>
      </c>
    </row>
    <row r="59" spans="1:4" x14ac:dyDescent="0.45">
      <c r="A59" s="15">
        <v>43132</v>
      </c>
      <c r="B59">
        <v>2015</v>
      </c>
      <c r="C59" t="s">
        <v>36</v>
      </c>
      <c r="D59" s="19">
        <v>678</v>
      </c>
    </row>
    <row r="60" spans="1:4" x14ac:dyDescent="0.45">
      <c r="A60" s="15">
        <v>43132</v>
      </c>
      <c r="B60">
        <v>2016</v>
      </c>
      <c r="C60" t="s">
        <v>37</v>
      </c>
      <c r="D60" s="19">
        <v>777</v>
      </c>
    </row>
    <row r="61" spans="1:4" x14ac:dyDescent="0.45">
      <c r="A61" s="15">
        <v>43132</v>
      </c>
      <c r="B61">
        <v>2017</v>
      </c>
      <c r="C61" t="s">
        <v>38</v>
      </c>
      <c r="D61" s="19">
        <v>919</v>
      </c>
    </row>
    <row r="62" spans="1:4" x14ac:dyDescent="0.45">
      <c r="A62" s="15">
        <v>43132</v>
      </c>
      <c r="B62">
        <v>3001</v>
      </c>
      <c r="C62" t="s">
        <v>41</v>
      </c>
      <c r="D62" s="19">
        <v>756</v>
      </c>
    </row>
    <row r="63" spans="1:4" x14ac:dyDescent="0.45">
      <c r="A63" s="15">
        <v>43132</v>
      </c>
      <c r="B63">
        <v>3002</v>
      </c>
      <c r="C63" t="s">
        <v>42</v>
      </c>
      <c r="D63" s="19">
        <v>517</v>
      </c>
    </row>
    <row r="64" spans="1:4" x14ac:dyDescent="0.45">
      <c r="A64" s="15">
        <v>43132</v>
      </c>
      <c r="B64">
        <v>3003</v>
      </c>
      <c r="C64" t="s">
        <v>43</v>
      </c>
      <c r="D64" s="19">
        <v>257</v>
      </c>
    </row>
    <row r="65" spans="1:4" x14ac:dyDescent="0.45">
      <c r="A65" s="15">
        <v>43132</v>
      </c>
      <c r="B65">
        <v>3004</v>
      </c>
      <c r="C65" t="s">
        <v>44</v>
      </c>
      <c r="D65" s="19">
        <v>743</v>
      </c>
    </row>
    <row r="66" spans="1:4" x14ac:dyDescent="0.45">
      <c r="A66" s="15">
        <v>43132</v>
      </c>
      <c r="B66">
        <v>3005</v>
      </c>
      <c r="C66" t="s">
        <v>45</v>
      </c>
      <c r="D66" s="19">
        <v>81</v>
      </c>
    </row>
    <row r="67" spans="1:4" x14ac:dyDescent="0.45">
      <c r="A67" s="15">
        <v>43132</v>
      </c>
      <c r="B67">
        <v>3006</v>
      </c>
      <c r="C67" t="s">
        <v>46</v>
      </c>
      <c r="D67" s="19">
        <v>202</v>
      </c>
    </row>
    <row r="68" spans="1:4" x14ac:dyDescent="0.45">
      <c r="A68" s="15">
        <v>43132</v>
      </c>
      <c r="B68">
        <v>3007</v>
      </c>
      <c r="C68" t="s">
        <v>47</v>
      </c>
      <c r="D68" s="19">
        <v>31</v>
      </c>
    </row>
    <row r="69" spans="1:4" x14ac:dyDescent="0.45">
      <c r="A69" s="15">
        <v>43132</v>
      </c>
      <c r="B69">
        <v>3008</v>
      </c>
      <c r="C69" t="s">
        <v>48</v>
      </c>
      <c r="D69" s="19">
        <v>865</v>
      </c>
    </row>
    <row r="70" spans="1:4" x14ac:dyDescent="0.45">
      <c r="A70" s="15">
        <v>43132</v>
      </c>
      <c r="B70">
        <v>3009</v>
      </c>
      <c r="C70" t="s">
        <v>49</v>
      </c>
      <c r="D70" s="19">
        <v>704</v>
      </c>
    </row>
    <row r="71" spans="1:4" x14ac:dyDescent="0.45">
      <c r="A71" s="15">
        <v>43132</v>
      </c>
      <c r="B71">
        <v>4001</v>
      </c>
      <c r="C71" t="s">
        <v>52</v>
      </c>
      <c r="D71" s="19">
        <v>730</v>
      </c>
    </row>
    <row r="72" spans="1:4" x14ac:dyDescent="0.45">
      <c r="A72" s="15">
        <v>43132</v>
      </c>
      <c r="B72">
        <v>4002</v>
      </c>
      <c r="C72" t="s">
        <v>53</v>
      </c>
      <c r="D72" s="19">
        <v>813</v>
      </c>
    </row>
    <row r="73" spans="1:4" x14ac:dyDescent="0.45">
      <c r="A73" s="15">
        <v>43132</v>
      </c>
      <c r="B73">
        <v>4003</v>
      </c>
      <c r="C73" t="s">
        <v>54</v>
      </c>
      <c r="D73" s="19">
        <v>911</v>
      </c>
    </row>
    <row r="74" spans="1:4" x14ac:dyDescent="0.45">
      <c r="A74" s="15">
        <v>43132</v>
      </c>
      <c r="B74">
        <v>5001</v>
      </c>
      <c r="C74" t="s">
        <v>57</v>
      </c>
      <c r="D74" s="19">
        <v>45441</v>
      </c>
    </row>
    <row r="75" spans="1:4" x14ac:dyDescent="0.45">
      <c r="A75" s="15">
        <v>43132</v>
      </c>
      <c r="B75">
        <v>5002</v>
      </c>
      <c r="C75" t="s">
        <v>58</v>
      </c>
      <c r="D75" s="19">
        <v>10988</v>
      </c>
    </row>
    <row r="76" spans="1:4" x14ac:dyDescent="0.45">
      <c r="A76" s="15">
        <v>43132</v>
      </c>
      <c r="B76">
        <v>5003</v>
      </c>
      <c r="C76" t="s">
        <v>59</v>
      </c>
      <c r="D76" s="19">
        <v>958</v>
      </c>
    </row>
    <row r="77" spans="1:4" x14ac:dyDescent="0.45">
      <c r="A77" s="15">
        <v>43132</v>
      </c>
      <c r="B77">
        <v>5004</v>
      </c>
      <c r="C77" t="s">
        <v>60</v>
      </c>
      <c r="D77" s="19">
        <v>48483</v>
      </c>
    </row>
    <row r="78" spans="1:4" x14ac:dyDescent="0.45">
      <c r="A78" s="15">
        <v>43132</v>
      </c>
      <c r="B78">
        <v>5005</v>
      </c>
      <c r="C78" t="s">
        <v>61</v>
      </c>
      <c r="D78" s="19">
        <v>83432</v>
      </c>
    </row>
    <row r="79" spans="1:4" x14ac:dyDescent="0.45">
      <c r="A79" s="15">
        <v>43132</v>
      </c>
      <c r="B79">
        <v>5006</v>
      </c>
      <c r="C79" t="s">
        <v>62</v>
      </c>
      <c r="D79" s="19">
        <v>72316</v>
      </c>
    </row>
    <row r="80" spans="1:4" x14ac:dyDescent="0.45">
      <c r="A80" s="15">
        <v>43132</v>
      </c>
      <c r="B80">
        <v>5007</v>
      </c>
      <c r="C80" t="s">
        <v>63</v>
      </c>
      <c r="D80" s="19">
        <v>69752</v>
      </c>
    </row>
    <row r="81" spans="1:4" x14ac:dyDescent="0.45">
      <c r="A81" s="15">
        <v>43132</v>
      </c>
      <c r="B81">
        <v>5008</v>
      </c>
      <c r="C81" t="s">
        <v>64</v>
      </c>
      <c r="D81" s="19">
        <v>77901</v>
      </c>
    </row>
    <row r="82" spans="1:4" x14ac:dyDescent="0.45">
      <c r="A82" s="15">
        <v>43132</v>
      </c>
      <c r="B82">
        <v>5009</v>
      </c>
      <c r="C82" t="s">
        <v>65</v>
      </c>
      <c r="D82" s="19">
        <v>49493</v>
      </c>
    </row>
    <row r="83" spans="1:4" x14ac:dyDescent="0.45">
      <c r="A83" s="15">
        <v>43132</v>
      </c>
      <c r="B83">
        <v>6002</v>
      </c>
      <c r="C83" t="s">
        <v>68</v>
      </c>
      <c r="D83" s="19">
        <v>794</v>
      </c>
    </row>
    <row r="84" spans="1:4" x14ac:dyDescent="0.45">
      <c r="A84" s="15">
        <v>43132</v>
      </c>
      <c r="B84">
        <v>6003</v>
      </c>
      <c r="C84" t="s">
        <v>69</v>
      </c>
      <c r="D84" s="19">
        <v>497</v>
      </c>
    </row>
    <row r="85" spans="1:4" x14ac:dyDescent="0.45">
      <c r="A85" s="15">
        <v>43132</v>
      </c>
      <c r="B85">
        <v>6004</v>
      </c>
      <c r="C85" t="s">
        <v>70</v>
      </c>
      <c r="D85" s="19">
        <v>668</v>
      </c>
    </row>
    <row r="86" spans="1:4" x14ac:dyDescent="0.45">
      <c r="A86" s="15">
        <v>43132</v>
      </c>
      <c r="B86">
        <v>6005</v>
      </c>
      <c r="C86" t="s">
        <v>71</v>
      </c>
      <c r="D86" s="19">
        <v>223</v>
      </c>
    </row>
    <row r="87" spans="1:4" x14ac:dyDescent="0.45">
      <c r="A87" s="15">
        <v>43132</v>
      </c>
      <c r="B87">
        <v>6006</v>
      </c>
      <c r="C87" t="s">
        <v>72</v>
      </c>
      <c r="D87" s="19">
        <v>144</v>
      </c>
    </row>
    <row r="88" spans="1:4" x14ac:dyDescent="0.45">
      <c r="A88" s="15">
        <v>43160</v>
      </c>
      <c r="B88">
        <v>2001</v>
      </c>
      <c r="C88" t="s">
        <v>22</v>
      </c>
      <c r="D88" s="19">
        <v>686</v>
      </c>
    </row>
    <row r="89" spans="1:4" x14ac:dyDescent="0.45">
      <c r="A89" s="15">
        <v>43160</v>
      </c>
      <c r="B89">
        <v>2002</v>
      </c>
      <c r="C89" t="s">
        <v>23</v>
      </c>
      <c r="D89" s="19">
        <v>843</v>
      </c>
    </row>
    <row r="90" spans="1:4" x14ac:dyDescent="0.45">
      <c r="A90" s="15">
        <v>43160</v>
      </c>
      <c r="B90">
        <v>2003</v>
      </c>
      <c r="C90" t="s">
        <v>24</v>
      </c>
      <c r="D90" s="19">
        <v>986</v>
      </c>
    </row>
    <row r="91" spans="1:4" x14ac:dyDescent="0.45">
      <c r="A91" s="15">
        <v>43160</v>
      </c>
      <c r="B91">
        <v>2004</v>
      </c>
      <c r="C91" t="s">
        <v>25</v>
      </c>
      <c r="D91" s="19">
        <v>683</v>
      </c>
    </row>
    <row r="92" spans="1:4" x14ac:dyDescent="0.45">
      <c r="A92" s="15">
        <v>43160</v>
      </c>
      <c r="B92">
        <v>2005</v>
      </c>
      <c r="C92" t="s">
        <v>26</v>
      </c>
      <c r="D92" s="19">
        <v>842</v>
      </c>
    </row>
    <row r="93" spans="1:4" x14ac:dyDescent="0.45">
      <c r="A93" s="15">
        <v>43160</v>
      </c>
      <c r="B93">
        <v>2006</v>
      </c>
      <c r="C93" t="s">
        <v>27</v>
      </c>
      <c r="D93" s="19">
        <v>353</v>
      </c>
    </row>
    <row r="94" spans="1:4" x14ac:dyDescent="0.45">
      <c r="A94" s="15">
        <v>43160</v>
      </c>
      <c r="B94">
        <v>2007</v>
      </c>
      <c r="C94" t="s">
        <v>28</v>
      </c>
      <c r="D94" s="19">
        <v>35</v>
      </c>
    </row>
    <row r="95" spans="1:4" x14ac:dyDescent="0.45">
      <c r="A95" s="15">
        <v>43160</v>
      </c>
      <c r="B95">
        <v>2008</v>
      </c>
      <c r="C95" t="s">
        <v>29</v>
      </c>
      <c r="D95" s="19">
        <v>534</v>
      </c>
    </row>
    <row r="96" spans="1:4" x14ac:dyDescent="0.45">
      <c r="A96" s="15">
        <v>43160</v>
      </c>
      <c r="B96">
        <v>2009</v>
      </c>
      <c r="C96" t="s">
        <v>30</v>
      </c>
      <c r="D96" s="19">
        <v>396</v>
      </c>
    </row>
    <row r="97" spans="1:4" x14ac:dyDescent="0.45">
      <c r="A97" s="15">
        <v>43160</v>
      </c>
      <c r="B97">
        <v>2010</v>
      </c>
      <c r="C97" t="s">
        <v>31</v>
      </c>
      <c r="D97" s="19">
        <v>123</v>
      </c>
    </row>
    <row r="98" spans="1:4" x14ac:dyDescent="0.45">
      <c r="A98" s="15">
        <v>43160</v>
      </c>
      <c r="B98">
        <v>2011</v>
      </c>
      <c r="C98" t="s">
        <v>32</v>
      </c>
      <c r="D98" s="19">
        <v>605</v>
      </c>
    </row>
    <row r="99" spans="1:4" x14ac:dyDescent="0.45">
      <c r="A99" s="15">
        <v>43160</v>
      </c>
      <c r="B99">
        <v>2012</v>
      </c>
      <c r="C99" t="s">
        <v>33</v>
      </c>
      <c r="D99" s="19">
        <v>94</v>
      </c>
    </row>
    <row r="100" spans="1:4" x14ac:dyDescent="0.45">
      <c r="A100" s="15">
        <v>43160</v>
      </c>
      <c r="B100">
        <v>2013</v>
      </c>
      <c r="C100" t="s">
        <v>34</v>
      </c>
      <c r="D100" s="19">
        <v>406</v>
      </c>
    </row>
    <row r="101" spans="1:4" x14ac:dyDescent="0.45">
      <c r="A101" s="15">
        <v>43160</v>
      </c>
      <c r="B101">
        <v>2014</v>
      </c>
      <c r="C101" t="s">
        <v>35</v>
      </c>
      <c r="D101" s="19">
        <v>469</v>
      </c>
    </row>
    <row r="102" spans="1:4" x14ac:dyDescent="0.45">
      <c r="A102" s="15">
        <v>43160</v>
      </c>
      <c r="B102">
        <v>2015</v>
      </c>
      <c r="C102" t="s">
        <v>36</v>
      </c>
      <c r="D102" s="19">
        <v>228</v>
      </c>
    </row>
    <row r="103" spans="1:4" x14ac:dyDescent="0.45">
      <c r="A103" s="15">
        <v>43160</v>
      </c>
      <c r="B103">
        <v>2016</v>
      </c>
      <c r="C103" t="s">
        <v>37</v>
      </c>
      <c r="D103" s="19">
        <v>17</v>
      </c>
    </row>
    <row r="104" spans="1:4" x14ac:dyDescent="0.45">
      <c r="A104" s="15">
        <v>43160</v>
      </c>
      <c r="B104">
        <v>2017</v>
      </c>
      <c r="C104" t="s">
        <v>38</v>
      </c>
      <c r="D104" s="19">
        <v>950</v>
      </c>
    </row>
    <row r="105" spans="1:4" x14ac:dyDescent="0.45">
      <c r="A105" s="15">
        <v>43160</v>
      </c>
      <c r="B105">
        <v>3001</v>
      </c>
      <c r="C105" t="s">
        <v>41</v>
      </c>
      <c r="D105" s="19">
        <v>270</v>
      </c>
    </row>
    <row r="106" spans="1:4" x14ac:dyDescent="0.45">
      <c r="A106" s="15">
        <v>43160</v>
      </c>
      <c r="B106">
        <v>3002</v>
      </c>
      <c r="C106" t="s">
        <v>42</v>
      </c>
      <c r="D106" s="19">
        <v>557</v>
      </c>
    </row>
    <row r="107" spans="1:4" x14ac:dyDescent="0.45">
      <c r="A107" s="15">
        <v>43160</v>
      </c>
      <c r="B107">
        <v>3003</v>
      </c>
      <c r="C107" t="s">
        <v>43</v>
      </c>
      <c r="D107" s="19">
        <v>328</v>
      </c>
    </row>
    <row r="108" spans="1:4" x14ac:dyDescent="0.45">
      <c r="A108" s="15">
        <v>43160</v>
      </c>
      <c r="B108">
        <v>3004</v>
      </c>
      <c r="C108" t="s">
        <v>44</v>
      </c>
      <c r="D108" s="19">
        <v>731</v>
      </c>
    </row>
    <row r="109" spans="1:4" x14ac:dyDescent="0.45">
      <c r="A109" s="15">
        <v>43160</v>
      </c>
      <c r="B109">
        <v>3005</v>
      </c>
      <c r="C109" t="s">
        <v>45</v>
      </c>
      <c r="D109" s="19">
        <v>589</v>
      </c>
    </row>
    <row r="110" spans="1:4" x14ac:dyDescent="0.45">
      <c r="A110" s="15">
        <v>43160</v>
      </c>
      <c r="B110">
        <v>3006</v>
      </c>
      <c r="C110" t="s">
        <v>46</v>
      </c>
      <c r="D110" s="19">
        <v>354</v>
      </c>
    </row>
    <row r="111" spans="1:4" x14ac:dyDescent="0.45">
      <c r="A111" s="15">
        <v>43160</v>
      </c>
      <c r="B111">
        <v>3007</v>
      </c>
      <c r="C111" t="s">
        <v>47</v>
      </c>
      <c r="D111" s="19">
        <v>560</v>
      </c>
    </row>
    <row r="112" spans="1:4" x14ac:dyDescent="0.45">
      <c r="A112" s="15">
        <v>43160</v>
      </c>
      <c r="B112">
        <v>3008</v>
      </c>
      <c r="C112" t="s">
        <v>48</v>
      </c>
      <c r="D112" s="19">
        <v>887</v>
      </c>
    </row>
    <row r="113" spans="1:4" x14ac:dyDescent="0.45">
      <c r="A113" s="15">
        <v>43160</v>
      </c>
      <c r="B113">
        <v>3009</v>
      </c>
      <c r="C113" t="s">
        <v>49</v>
      </c>
      <c r="D113" s="19">
        <v>645</v>
      </c>
    </row>
    <row r="114" spans="1:4" x14ac:dyDescent="0.45">
      <c r="A114" s="15">
        <v>43160</v>
      </c>
      <c r="B114">
        <v>4001</v>
      </c>
      <c r="C114" t="s">
        <v>52</v>
      </c>
      <c r="D114" s="19">
        <v>273</v>
      </c>
    </row>
    <row r="115" spans="1:4" x14ac:dyDescent="0.45">
      <c r="A115" s="15">
        <v>43160</v>
      </c>
      <c r="B115">
        <v>4002</v>
      </c>
      <c r="C115" t="s">
        <v>53</v>
      </c>
      <c r="D115" s="19">
        <v>446</v>
      </c>
    </row>
    <row r="116" spans="1:4" x14ac:dyDescent="0.45">
      <c r="A116" s="15">
        <v>43160</v>
      </c>
      <c r="B116">
        <v>4003</v>
      </c>
      <c r="C116" t="s">
        <v>54</v>
      </c>
      <c r="D116" s="19">
        <v>234</v>
      </c>
    </row>
    <row r="117" spans="1:4" x14ac:dyDescent="0.45">
      <c r="A117" s="15">
        <v>43160</v>
      </c>
      <c r="B117">
        <v>5001</v>
      </c>
      <c r="C117" t="s">
        <v>57</v>
      </c>
      <c r="D117" s="19">
        <v>38674</v>
      </c>
    </row>
    <row r="118" spans="1:4" x14ac:dyDescent="0.45">
      <c r="A118" s="15">
        <v>43160</v>
      </c>
      <c r="B118">
        <v>5002</v>
      </c>
      <c r="C118" t="s">
        <v>58</v>
      </c>
      <c r="D118" s="19">
        <v>95042</v>
      </c>
    </row>
    <row r="119" spans="1:4" x14ac:dyDescent="0.45">
      <c r="A119" s="15">
        <v>43160</v>
      </c>
      <c r="B119">
        <v>5003</v>
      </c>
      <c r="C119" t="s">
        <v>59</v>
      </c>
      <c r="D119" s="19">
        <v>50491</v>
      </c>
    </row>
    <row r="120" spans="1:4" x14ac:dyDescent="0.45">
      <c r="A120" s="15">
        <v>43160</v>
      </c>
      <c r="B120">
        <v>5004</v>
      </c>
      <c r="C120" t="s">
        <v>60</v>
      </c>
      <c r="D120" s="19">
        <v>40741</v>
      </c>
    </row>
    <row r="121" spans="1:4" x14ac:dyDescent="0.45">
      <c r="A121" s="15">
        <v>43160</v>
      </c>
      <c r="B121">
        <v>5005</v>
      </c>
      <c r="C121" t="s">
        <v>61</v>
      </c>
      <c r="D121" s="19">
        <v>95985</v>
      </c>
    </row>
    <row r="122" spans="1:4" x14ac:dyDescent="0.45">
      <c r="A122" s="15">
        <v>43160</v>
      </c>
      <c r="B122">
        <v>5006</v>
      </c>
      <c r="C122" t="s">
        <v>62</v>
      </c>
      <c r="D122" s="19">
        <v>98858</v>
      </c>
    </row>
    <row r="123" spans="1:4" x14ac:dyDescent="0.45">
      <c r="A123" s="15">
        <v>43160</v>
      </c>
      <c r="B123">
        <v>5007</v>
      </c>
      <c r="C123" t="s">
        <v>63</v>
      </c>
      <c r="D123" s="19">
        <v>57658</v>
      </c>
    </row>
    <row r="124" spans="1:4" x14ac:dyDescent="0.45">
      <c r="A124" s="15">
        <v>43160</v>
      </c>
      <c r="B124">
        <v>5008</v>
      </c>
      <c r="C124" t="s">
        <v>64</v>
      </c>
      <c r="D124" s="19">
        <v>63361</v>
      </c>
    </row>
    <row r="125" spans="1:4" x14ac:dyDescent="0.45">
      <c r="A125" s="15">
        <v>43160</v>
      </c>
      <c r="B125">
        <v>5009</v>
      </c>
      <c r="C125" t="s">
        <v>65</v>
      </c>
      <c r="D125" s="19">
        <v>74859</v>
      </c>
    </row>
    <row r="126" spans="1:4" x14ac:dyDescent="0.45">
      <c r="A126" s="15">
        <v>43160</v>
      </c>
      <c r="B126">
        <v>6002</v>
      </c>
      <c r="C126" t="s">
        <v>68</v>
      </c>
      <c r="D126" s="19">
        <v>790</v>
      </c>
    </row>
    <row r="127" spans="1:4" x14ac:dyDescent="0.45">
      <c r="A127" s="15">
        <v>43160</v>
      </c>
      <c r="B127">
        <v>6003</v>
      </c>
      <c r="C127" t="s">
        <v>69</v>
      </c>
      <c r="D127" s="19">
        <v>553</v>
      </c>
    </row>
    <row r="128" spans="1:4" x14ac:dyDescent="0.45">
      <c r="A128" s="15">
        <v>43160</v>
      </c>
      <c r="B128">
        <v>6004</v>
      </c>
      <c r="C128" t="s">
        <v>70</v>
      </c>
      <c r="D128" s="19">
        <v>98</v>
      </c>
    </row>
    <row r="129" spans="1:4" x14ac:dyDescent="0.45">
      <c r="A129" s="15">
        <v>43160</v>
      </c>
      <c r="B129">
        <v>6005</v>
      </c>
      <c r="C129" t="s">
        <v>71</v>
      </c>
      <c r="D129" s="19">
        <v>392</v>
      </c>
    </row>
    <row r="130" spans="1:4" x14ac:dyDescent="0.45">
      <c r="A130" s="15">
        <v>43160</v>
      </c>
      <c r="B130">
        <v>6006</v>
      </c>
      <c r="C130" t="s">
        <v>72</v>
      </c>
      <c r="D130" s="19">
        <v>573</v>
      </c>
    </row>
    <row r="131" spans="1:4" x14ac:dyDescent="0.45">
      <c r="A131" s="15">
        <v>43191</v>
      </c>
      <c r="B131">
        <v>2001</v>
      </c>
      <c r="C131" t="s">
        <v>22</v>
      </c>
      <c r="D131" s="19">
        <v>946</v>
      </c>
    </row>
    <row r="132" spans="1:4" x14ac:dyDescent="0.45">
      <c r="A132" s="15">
        <v>43191</v>
      </c>
      <c r="B132">
        <v>2002</v>
      </c>
      <c r="C132" t="s">
        <v>23</v>
      </c>
      <c r="D132" s="19">
        <v>932</v>
      </c>
    </row>
    <row r="133" spans="1:4" x14ac:dyDescent="0.45">
      <c r="A133" s="15">
        <v>43191</v>
      </c>
      <c r="B133">
        <v>2003</v>
      </c>
      <c r="C133" t="s">
        <v>24</v>
      </c>
      <c r="D133" s="19">
        <v>203</v>
      </c>
    </row>
    <row r="134" spans="1:4" x14ac:dyDescent="0.45">
      <c r="A134" s="15">
        <v>43191</v>
      </c>
      <c r="B134">
        <v>2004</v>
      </c>
      <c r="C134" t="s">
        <v>25</v>
      </c>
      <c r="D134" s="19">
        <v>825</v>
      </c>
    </row>
    <row r="135" spans="1:4" x14ac:dyDescent="0.45">
      <c r="A135" s="15">
        <v>43191</v>
      </c>
      <c r="B135">
        <v>2005</v>
      </c>
      <c r="C135" t="s">
        <v>26</v>
      </c>
      <c r="D135" s="19">
        <v>547</v>
      </c>
    </row>
    <row r="136" spans="1:4" x14ac:dyDescent="0.45">
      <c r="A136" s="15">
        <v>43191</v>
      </c>
      <c r="B136">
        <v>2006</v>
      </c>
      <c r="C136" t="s">
        <v>27</v>
      </c>
      <c r="D136" s="19">
        <v>551</v>
      </c>
    </row>
    <row r="137" spans="1:4" x14ac:dyDescent="0.45">
      <c r="A137" s="15">
        <v>43191</v>
      </c>
      <c r="B137">
        <v>2007</v>
      </c>
      <c r="C137" t="s">
        <v>28</v>
      </c>
      <c r="D137" s="19">
        <v>194</v>
      </c>
    </row>
    <row r="138" spans="1:4" x14ac:dyDescent="0.45">
      <c r="A138" s="15">
        <v>43191</v>
      </c>
      <c r="B138">
        <v>2008</v>
      </c>
      <c r="C138" t="s">
        <v>29</v>
      </c>
      <c r="D138" s="19">
        <v>822</v>
      </c>
    </row>
    <row r="139" spans="1:4" x14ac:dyDescent="0.45">
      <c r="A139" s="15">
        <v>43191</v>
      </c>
      <c r="B139">
        <v>2009</v>
      </c>
      <c r="C139" t="s">
        <v>30</v>
      </c>
      <c r="D139" s="19">
        <v>314</v>
      </c>
    </row>
    <row r="140" spans="1:4" x14ac:dyDescent="0.45">
      <c r="A140" s="15">
        <v>43191</v>
      </c>
      <c r="B140">
        <v>2010</v>
      </c>
      <c r="C140" t="s">
        <v>31</v>
      </c>
      <c r="D140" s="19">
        <v>482</v>
      </c>
    </row>
    <row r="141" spans="1:4" x14ac:dyDescent="0.45">
      <c r="A141" s="15">
        <v>43191</v>
      </c>
      <c r="B141">
        <v>2011</v>
      </c>
      <c r="C141" t="s">
        <v>32</v>
      </c>
      <c r="D141" s="19">
        <v>322</v>
      </c>
    </row>
    <row r="142" spans="1:4" x14ac:dyDescent="0.45">
      <c r="A142" s="15">
        <v>43191</v>
      </c>
      <c r="B142">
        <v>2012</v>
      </c>
      <c r="C142" t="s">
        <v>33</v>
      </c>
      <c r="D142" s="19">
        <v>854</v>
      </c>
    </row>
    <row r="143" spans="1:4" x14ac:dyDescent="0.45">
      <c r="A143" s="15">
        <v>43191</v>
      </c>
      <c r="B143">
        <v>2013</v>
      </c>
      <c r="C143" t="s">
        <v>34</v>
      </c>
      <c r="D143" s="19">
        <v>833</v>
      </c>
    </row>
    <row r="144" spans="1:4" x14ac:dyDescent="0.45">
      <c r="A144" s="15">
        <v>43191</v>
      </c>
      <c r="B144">
        <v>2014</v>
      </c>
      <c r="C144" t="s">
        <v>35</v>
      </c>
      <c r="D144" s="19">
        <v>124</v>
      </c>
    </row>
    <row r="145" spans="1:4" x14ac:dyDescent="0.45">
      <c r="A145" s="15">
        <v>43191</v>
      </c>
      <c r="B145">
        <v>2015</v>
      </c>
      <c r="C145" t="s">
        <v>36</v>
      </c>
      <c r="D145" s="19">
        <v>519</v>
      </c>
    </row>
    <row r="146" spans="1:4" x14ac:dyDescent="0.45">
      <c r="A146" s="15">
        <v>43191</v>
      </c>
      <c r="B146">
        <v>2016</v>
      </c>
      <c r="C146" t="s">
        <v>37</v>
      </c>
      <c r="D146" s="19">
        <v>523</v>
      </c>
    </row>
    <row r="147" spans="1:4" x14ac:dyDescent="0.45">
      <c r="A147" s="15">
        <v>43191</v>
      </c>
      <c r="B147">
        <v>2017</v>
      </c>
      <c r="C147" t="s">
        <v>38</v>
      </c>
      <c r="D147" s="19">
        <v>703</v>
      </c>
    </row>
    <row r="148" spans="1:4" x14ac:dyDescent="0.45">
      <c r="A148" s="15">
        <v>43191</v>
      </c>
      <c r="B148">
        <v>3001</v>
      </c>
      <c r="C148" t="s">
        <v>41</v>
      </c>
      <c r="D148" s="19">
        <v>161</v>
      </c>
    </row>
    <row r="149" spans="1:4" x14ac:dyDescent="0.45">
      <c r="A149" s="15">
        <v>43191</v>
      </c>
      <c r="B149">
        <v>3002</v>
      </c>
      <c r="C149" t="s">
        <v>42</v>
      </c>
      <c r="D149" s="19">
        <v>75</v>
      </c>
    </row>
    <row r="150" spans="1:4" x14ac:dyDescent="0.45">
      <c r="A150" s="15">
        <v>43191</v>
      </c>
      <c r="B150">
        <v>3003</v>
      </c>
      <c r="C150" t="s">
        <v>43</v>
      </c>
      <c r="D150" s="19">
        <v>43</v>
      </c>
    </row>
    <row r="151" spans="1:4" x14ac:dyDescent="0.45">
      <c r="A151" s="15">
        <v>43191</v>
      </c>
      <c r="B151">
        <v>3004</v>
      </c>
      <c r="C151" t="s">
        <v>44</v>
      </c>
      <c r="D151" s="19">
        <v>761</v>
      </c>
    </row>
    <row r="152" spans="1:4" x14ac:dyDescent="0.45">
      <c r="A152" s="15">
        <v>43191</v>
      </c>
      <c r="B152">
        <v>3005</v>
      </c>
      <c r="C152" t="s">
        <v>45</v>
      </c>
      <c r="D152" s="19">
        <v>92</v>
      </c>
    </row>
    <row r="153" spans="1:4" x14ac:dyDescent="0.45">
      <c r="A153" s="15">
        <v>43191</v>
      </c>
      <c r="B153">
        <v>3006</v>
      </c>
      <c r="C153" t="s">
        <v>46</v>
      </c>
      <c r="D153" s="19">
        <v>218</v>
      </c>
    </row>
    <row r="154" spans="1:4" x14ac:dyDescent="0.45">
      <c r="A154" s="15">
        <v>43191</v>
      </c>
      <c r="B154">
        <v>3007</v>
      </c>
      <c r="C154" t="s">
        <v>47</v>
      </c>
      <c r="D154" s="19">
        <v>14</v>
      </c>
    </row>
    <row r="155" spans="1:4" x14ac:dyDescent="0.45">
      <c r="A155" s="15">
        <v>43191</v>
      </c>
      <c r="B155">
        <v>3008</v>
      </c>
      <c r="C155" t="s">
        <v>48</v>
      </c>
      <c r="D155" s="19">
        <v>245</v>
      </c>
    </row>
    <row r="156" spans="1:4" x14ac:dyDescent="0.45">
      <c r="A156" s="15">
        <v>43191</v>
      </c>
      <c r="B156">
        <v>3009</v>
      </c>
      <c r="C156" t="s">
        <v>49</v>
      </c>
      <c r="D156" s="19">
        <v>553</v>
      </c>
    </row>
    <row r="157" spans="1:4" x14ac:dyDescent="0.45">
      <c r="A157" s="15">
        <v>43191</v>
      </c>
      <c r="B157">
        <v>4001</v>
      </c>
      <c r="C157" t="s">
        <v>52</v>
      </c>
      <c r="D157" s="19">
        <v>255</v>
      </c>
    </row>
    <row r="158" spans="1:4" x14ac:dyDescent="0.45">
      <c r="A158" s="15">
        <v>43191</v>
      </c>
      <c r="B158">
        <v>4002</v>
      </c>
      <c r="C158" t="s">
        <v>53</v>
      </c>
      <c r="D158" s="19">
        <v>204</v>
      </c>
    </row>
    <row r="159" spans="1:4" x14ac:dyDescent="0.45">
      <c r="A159" s="15">
        <v>43191</v>
      </c>
      <c r="B159">
        <v>4003</v>
      </c>
      <c r="C159" t="s">
        <v>54</v>
      </c>
      <c r="D159" s="19">
        <v>115</v>
      </c>
    </row>
    <row r="160" spans="1:4" x14ac:dyDescent="0.45">
      <c r="A160" s="15">
        <v>43191</v>
      </c>
      <c r="B160">
        <v>5001</v>
      </c>
      <c r="C160" t="s">
        <v>57</v>
      </c>
      <c r="D160" s="19">
        <v>4200</v>
      </c>
    </row>
    <row r="161" spans="1:4" x14ac:dyDescent="0.45">
      <c r="A161" s="15">
        <v>43191</v>
      </c>
      <c r="B161">
        <v>5002</v>
      </c>
      <c r="C161" t="s">
        <v>58</v>
      </c>
      <c r="D161" s="19">
        <v>97088</v>
      </c>
    </row>
    <row r="162" spans="1:4" x14ac:dyDescent="0.45">
      <c r="A162" s="15">
        <v>43191</v>
      </c>
      <c r="B162">
        <v>5003</v>
      </c>
      <c r="C162" t="s">
        <v>59</v>
      </c>
      <c r="D162" s="19">
        <v>7657</v>
      </c>
    </row>
    <row r="163" spans="1:4" x14ac:dyDescent="0.45">
      <c r="A163" s="15">
        <v>43191</v>
      </c>
      <c r="B163">
        <v>5004</v>
      </c>
      <c r="C163" t="s">
        <v>60</v>
      </c>
      <c r="D163" s="19">
        <v>42860</v>
      </c>
    </row>
    <row r="164" spans="1:4" x14ac:dyDescent="0.45">
      <c r="A164" s="15">
        <v>43191</v>
      </c>
      <c r="B164">
        <v>5005</v>
      </c>
      <c r="C164" t="s">
        <v>61</v>
      </c>
      <c r="D164" s="19">
        <v>94991</v>
      </c>
    </row>
    <row r="165" spans="1:4" x14ac:dyDescent="0.45">
      <c r="A165" s="15">
        <v>43191</v>
      </c>
      <c r="B165">
        <v>5006</v>
      </c>
      <c r="C165" t="s">
        <v>62</v>
      </c>
      <c r="D165" s="19">
        <v>50987</v>
      </c>
    </row>
    <row r="166" spans="1:4" x14ac:dyDescent="0.45">
      <c r="A166" s="15">
        <v>43191</v>
      </c>
      <c r="B166">
        <v>5007</v>
      </c>
      <c r="C166" t="s">
        <v>63</v>
      </c>
      <c r="D166" s="19">
        <v>22902</v>
      </c>
    </row>
    <row r="167" spans="1:4" x14ac:dyDescent="0.45">
      <c r="A167" s="15">
        <v>43191</v>
      </c>
      <c r="B167">
        <v>5008</v>
      </c>
      <c r="C167" t="s">
        <v>64</v>
      </c>
      <c r="D167" s="19">
        <v>58662</v>
      </c>
    </row>
    <row r="168" spans="1:4" x14ac:dyDescent="0.45">
      <c r="A168" s="15">
        <v>43191</v>
      </c>
      <c r="B168">
        <v>5009</v>
      </c>
      <c r="C168" t="s">
        <v>65</v>
      </c>
      <c r="D168" s="19">
        <v>6091</v>
      </c>
    </row>
    <row r="169" spans="1:4" x14ac:dyDescent="0.45">
      <c r="A169" s="15">
        <v>43191</v>
      </c>
      <c r="B169">
        <v>6002</v>
      </c>
      <c r="C169" t="s">
        <v>68</v>
      </c>
      <c r="D169" s="19">
        <v>803</v>
      </c>
    </row>
    <row r="170" spans="1:4" x14ac:dyDescent="0.45">
      <c r="A170" s="15">
        <v>43191</v>
      </c>
      <c r="B170">
        <v>6003</v>
      </c>
      <c r="C170" t="s">
        <v>69</v>
      </c>
      <c r="D170" s="19">
        <v>121</v>
      </c>
    </row>
    <row r="171" spans="1:4" x14ac:dyDescent="0.45">
      <c r="A171" s="15">
        <v>43191</v>
      </c>
      <c r="B171">
        <v>6004</v>
      </c>
      <c r="C171" t="s">
        <v>70</v>
      </c>
      <c r="D171" s="19">
        <v>926</v>
      </c>
    </row>
    <row r="172" spans="1:4" x14ac:dyDescent="0.45">
      <c r="A172" s="15">
        <v>43191</v>
      </c>
      <c r="B172">
        <v>6005</v>
      </c>
      <c r="C172" t="s">
        <v>71</v>
      </c>
      <c r="D172" s="19">
        <v>155</v>
      </c>
    </row>
    <row r="173" spans="1:4" x14ac:dyDescent="0.45">
      <c r="A173" s="15">
        <v>43191</v>
      </c>
      <c r="B173">
        <v>6006</v>
      </c>
      <c r="C173" t="s">
        <v>72</v>
      </c>
      <c r="D173" s="19">
        <v>668</v>
      </c>
    </row>
    <row r="174" spans="1:4" x14ac:dyDescent="0.45">
      <c r="A174" s="15">
        <v>43221</v>
      </c>
      <c r="B174">
        <v>2001</v>
      </c>
      <c r="C174" t="s">
        <v>22</v>
      </c>
      <c r="D174" s="19">
        <v>781</v>
      </c>
    </row>
    <row r="175" spans="1:4" x14ac:dyDescent="0.45">
      <c r="A175" s="15">
        <v>43221</v>
      </c>
      <c r="B175">
        <v>2002</v>
      </c>
      <c r="C175" t="s">
        <v>23</v>
      </c>
      <c r="D175" s="19">
        <v>966</v>
      </c>
    </row>
    <row r="176" spans="1:4" x14ac:dyDescent="0.45">
      <c r="A176" s="15">
        <v>43221</v>
      </c>
      <c r="B176">
        <v>2003</v>
      </c>
      <c r="C176" t="s">
        <v>24</v>
      </c>
      <c r="D176" s="19">
        <v>787</v>
      </c>
    </row>
    <row r="177" spans="1:4" x14ac:dyDescent="0.45">
      <c r="A177" s="15">
        <v>43221</v>
      </c>
      <c r="B177">
        <v>2004</v>
      </c>
      <c r="C177" t="s">
        <v>25</v>
      </c>
      <c r="D177" s="19">
        <v>349</v>
      </c>
    </row>
    <row r="178" spans="1:4" x14ac:dyDescent="0.45">
      <c r="A178" s="15">
        <v>43221</v>
      </c>
      <c r="B178">
        <v>2005</v>
      </c>
      <c r="C178" t="s">
        <v>26</v>
      </c>
      <c r="D178" s="19">
        <v>563</v>
      </c>
    </row>
    <row r="179" spans="1:4" x14ac:dyDescent="0.45">
      <c r="A179" s="15">
        <v>43221</v>
      </c>
      <c r="B179">
        <v>2006</v>
      </c>
      <c r="C179" t="s">
        <v>27</v>
      </c>
      <c r="D179" s="19">
        <v>359</v>
      </c>
    </row>
    <row r="180" spans="1:4" x14ac:dyDescent="0.45">
      <c r="A180" s="15">
        <v>43221</v>
      </c>
      <c r="B180">
        <v>2007</v>
      </c>
      <c r="C180" t="s">
        <v>28</v>
      </c>
      <c r="D180" s="19">
        <v>722</v>
      </c>
    </row>
    <row r="181" spans="1:4" x14ac:dyDescent="0.45">
      <c r="A181" s="15">
        <v>43221</v>
      </c>
      <c r="B181">
        <v>2008</v>
      </c>
      <c r="C181" t="s">
        <v>29</v>
      </c>
      <c r="D181" s="19">
        <v>319</v>
      </c>
    </row>
    <row r="182" spans="1:4" x14ac:dyDescent="0.45">
      <c r="A182" s="15">
        <v>43221</v>
      </c>
      <c r="B182">
        <v>2009</v>
      </c>
      <c r="C182" t="s">
        <v>30</v>
      </c>
      <c r="D182" s="19">
        <v>66</v>
      </c>
    </row>
    <row r="183" spans="1:4" x14ac:dyDescent="0.45">
      <c r="A183" s="15">
        <v>43221</v>
      </c>
      <c r="B183">
        <v>2010</v>
      </c>
      <c r="C183" t="s">
        <v>31</v>
      </c>
      <c r="D183" s="19">
        <v>9</v>
      </c>
    </row>
    <row r="184" spans="1:4" x14ac:dyDescent="0.45">
      <c r="A184" s="15">
        <v>43221</v>
      </c>
      <c r="B184">
        <v>2011</v>
      </c>
      <c r="C184" t="s">
        <v>32</v>
      </c>
      <c r="D184" s="19">
        <v>948</v>
      </c>
    </row>
    <row r="185" spans="1:4" x14ac:dyDescent="0.45">
      <c r="A185" s="15">
        <v>43221</v>
      </c>
      <c r="B185">
        <v>2012</v>
      </c>
      <c r="C185" t="s">
        <v>33</v>
      </c>
      <c r="D185" s="19">
        <v>493</v>
      </c>
    </row>
    <row r="186" spans="1:4" x14ac:dyDescent="0.45">
      <c r="A186" s="15">
        <v>43221</v>
      </c>
      <c r="B186">
        <v>2013</v>
      </c>
      <c r="C186" t="s">
        <v>34</v>
      </c>
      <c r="D186" s="19">
        <v>224</v>
      </c>
    </row>
    <row r="187" spans="1:4" x14ac:dyDescent="0.45">
      <c r="A187" s="15">
        <v>43221</v>
      </c>
      <c r="B187">
        <v>2014</v>
      </c>
      <c r="C187" t="s">
        <v>35</v>
      </c>
      <c r="D187" s="19">
        <v>531</v>
      </c>
    </row>
    <row r="188" spans="1:4" x14ac:dyDescent="0.45">
      <c r="A188" s="15">
        <v>43221</v>
      </c>
      <c r="B188">
        <v>2015</v>
      </c>
      <c r="C188" t="s">
        <v>36</v>
      </c>
      <c r="D188" s="19">
        <v>582</v>
      </c>
    </row>
    <row r="189" spans="1:4" x14ac:dyDescent="0.45">
      <c r="A189" s="15">
        <v>43221</v>
      </c>
      <c r="B189">
        <v>2016</v>
      </c>
      <c r="C189" t="s">
        <v>37</v>
      </c>
      <c r="D189" s="19">
        <v>856</v>
      </c>
    </row>
    <row r="190" spans="1:4" x14ac:dyDescent="0.45">
      <c r="A190" s="15">
        <v>43221</v>
      </c>
      <c r="B190">
        <v>2017</v>
      </c>
      <c r="C190" t="s">
        <v>38</v>
      </c>
      <c r="D190" s="19">
        <v>291</v>
      </c>
    </row>
    <row r="191" spans="1:4" x14ac:dyDescent="0.45">
      <c r="A191" s="15">
        <v>43221</v>
      </c>
      <c r="B191">
        <v>3001</v>
      </c>
      <c r="C191" t="s">
        <v>41</v>
      </c>
      <c r="D191" s="19">
        <v>963</v>
      </c>
    </row>
    <row r="192" spans="1:4" x14ac:dyDescent="0.45">
      <c r="A192" s="15">
        <v>43221</v>
      </c>
      <c r="B192">
        <v>3002</v>
      </c>
      <c r="C192" t="s">
        <v>42</v>
      </c>
      <c r="D192" s="19">
        <v>687</v>
      </c>
    </row>
    <row r="193" spans="1:4" x14ac:dyDescent="0.45">
      <c r="A193" s="15">
        <v>43221</v>
      </c>
      <c r="B193">
        <v>3003</v>
      </c>
      <c r="C193" t="s">
        <v>43</v>
      </c>
      <c r="D193" s="19">
        <v>73</v>
      </c>
    </row>
    <row r="194" spans="1:4" x14ac:dyDescent="0.45">
      <c r="A194" s="15">
        <v>43221</v>
      </c>
      <c r="B194">
        <v>3004</v>
      </c>
      <c r="C194" t="s">
        <v>44</v>
      </c>
      <c r="D194" s="19">
        <v>917</v>
      </c>
    </row>
    <row r="195" spans="1:4" x14ac:dyDescent="0.45">
      <c r="A195" s="15">
        <v>43221</v>
      </c>
      <c r="B195">
        <v>3005</v>
      </c>
      <c r="C195" t="s">
        <v>45</v>
      </c>
      <c r="D195" s="19">
        <v>285</v>
      </c>
    </row>
    <row r="196" spans="1:4" x14ac:dyDescent="0.45">
      <c r="A196" s="15">
        <v>43221</v>
      </c>
      <c r="B196">
        <v>3006</v>
      </c>
      <c r="C196" t="s">
        <v>46</v>
      </c>
      <c r="D196" s="19">
        <v>76</v>
      </c>
    </row>
    <row r="197" spans="1:4" x14ac:dyDescent="0.45">
      <c r="A197" s="15">
        <v>43221</v>
      </c>
      <c r="B197">
        <v>3007</v>
      </c>
      <c r="C197" t="s">
        <v>47</v>
      </c>
      <c r="D197" s="19">
        <v>278</v>
      </c>
    </row>
    <row r="198" spans="1:4" x14ac:dyDescent="0.45">
      <c r="A198" s="15">
        <v>43221</v>
      </c>
      <c r="B198">
        <v>3008</v>
      </c>
      <c r="C198" t="s">
        <v>48</v>
      </c>
      <c r="D198" s="19">
        <v>407</v>
      </c>
    </row>
    <row r="199" spans="1:4" x14ac:dyDescent="0.45">
      <c r="A199" s="15">
        <v>43221</v>
      </c>
      <c r="B199">
        <v>3009</v>
      </c>
      <c r="C199" t="s">
        <v>49</v>
      </c>
      <c r="D199" s="19">
        <v>279</v>
      </c>
    </row>
    <row r="200" spans="1:4" x14ac:dyDescent="0.45">
      <c r="A200" s="15">
        <v>43221</v>
      </c>
      <c r="B200">
        <v>4001</v>
      </c>
      <c r="C200" t="s">
        <v>52</v>
      </c>
      <c r="D200" s="19">
        <v>140</v>
      </c>
    </row>
    <row r="201" spans="1:4" x14ac:dyDescent="0.45">
      <c r="A201" s="15">
        <v>43221</v>
      </c>
      <c r="B201">
        <v>4002</v>
      </c>
      <c r="C201" t="s">
        <v>53</v>
      </c>
      <c r="D201" s="19">
        <v>670</v>
      </c>
    </row>
    <row r="202" spans="1:4" x14ac:dyDescent="0.45">
      <c r="A202" s="15">
        <v>43221</v>
      </c>
      <c r="B202">
        <v>4003</v>
      </c>
      <c r="C202" t="s">
        <v>54</v>
      </c>
      <c r="D202" s="19">
        <v>140</v>
      </c>
    </row>
    <row r="203" spans="1:4" x14ac:dyDescent="0.45">
      <c r="A203" s="15">
        <v>43221</v>
      </c>
      <c r="B203">
        <v>5001</v>
      </c>
      <c r="C203" t="s">
        <v>57</v>
      </c>
      <c r="D203" s="19">
        <v>26227</v>
      </c>
    </row>
    <row r="204" spans="1:4" x14ac:dyDescent="0.45">
      <c r="A204" s="15">
        <v>43221</v>
      </c>
      <c r="B204">
        <v>5002</v>
      </c>
      <c r="C204" t="s">
        <v>58</v>
      </c>
      <c r="D204" s="19">
        <v>59143</v>
      </c>
    </row>
    <row r="205" spans="1:4" x14ac:dyDescent="0.45">
      <c r="A205" s="15">
        <v>43221</v>
      </c>
      <c r="B205">
        <v>5003</v>
      </c>
      <c r="C205" t="s">
        <v>59</v>
      </c>
      <c r="D205" s="19">
        <v>75372</v>
      </c>
    </row>
    <row r="206" spans="1:4" x14ac:dyDescent="0.45">
      <c r="A206" s="15">
        <v>43221</v>
      </c>
      <c r="B206">
        <v>5004</v>
      </c>
      <c r="C206" t="s">
        <v>60</v>
      </c>
      <c r="D206" s="19">
        <v>46074</v>
      </c>
    </row>
    <row r="207" spans="1:4" x14ac:dyDescent="0.45">
      <c r="A207" s="15">
        <v>43221</v>
      </c>
      <c r="B207">
        <v>5005</v>
      </c>
      <c r="C207" t="s">
        <v>61</v>
      </c>
      <c r="D207" s="19">
        <v>23527</v>
      </c>
    </row>
    <row r="208" spans="1:4" x14ac:dyDescent="0.45">
      <c r="A208" s="15">
        <v>43221</v>
      </c>
      <c r="B208">
        <v>5006</v>
      </c>
      <c r="C208" t="s">
        <v>62</v>
      </c>
      <c r="D208" s="19">
        <v>87684</v>
      </c>
    </row>
    <row r="209" spans="1:4" x14ac:dyDescent="0.45">
      <c r="A209" s="15">
        <v>43221</v>
      </c>
      <c r="B209">
        <v>5007</v>
      </c>
      <c r="C209" t="s">
        <v>63</v>
      </c>
      <c r="D209" s="19">
        <v>94122</v>
      </c>
    </row>
    <row r="210" spans="1:4" x14ac:dyDescent="0.45">
      <c r="A210" s="15">
        <v>43221</v>
      </c>
      <c r="B210">
        <v>5008</v>
      </c>
      <c r="C210" t="s">
        <v>64</v>
      </c>
      <c r="D210" s="19">
        <v>60589</v>
      </c>
    </row>
    <row r="211" spans="1:4" x14ac:dyDescent="0.45">
      <c r="A211" s="15">
        <v>43221</v>
      </c>
      <c r="B211">
        <v>5009</v>
      </c>
      <c r="C211" t="s">
        <v>65</v>
      </c>
      <c r="D211" s="19">
        <v>93417</v>
      </c>
    </row>
    <row r="212" spans="1:4" x14ac:dyDescent="0.45">
      <c r="A212" s="15">
        <v>43221</v>
      </c>
      <c r="B212">
        <v>6002</v>
      </c>
      <c r="C212" t="s">
        <v>68</v>
      </c>
      <c r="D212" s="19">
        <v>291</v>
      </c>
    </row>
    <row r="213" spans="1:4" x14ac:dyDescent="0.45">
      <c r="A213" s="15">
        <v>43221</v>
      </c>
      <c r="B213">
        <v>6003</v>
      </c>
      <c r="C213" t="s">
        <v>69</v>
      </c>
      <c r="D213" s="19">
        <v>49</v>
      </c>
    </row>
    <row r="214" spans="1:4" x14ac:dyDescent="0.45">
      <c r="A214" s="15">
        <v>43221</v>
      </c>
      <c r="B214">
        <v>6004</v>
      </c>
      <c r="C214" t="s">
        <v>70</v>
      </c>
      <c r="D214" s="19">
        <v>712</v>
      </c>
    </row>
    <row r="215" spans="1:4" x14ac:dyDescent="0.45">
      <c r="A215" s="15">
        <v>43221</v>
      </c>
      <c r="B215">
        <v>6005</v>
      </c>
      <c r="C215" t="s">
        <v>71</v>
      </c>
      <c r="D215" s="19">
        <v>105</v>
      </c>
    </row>
    <row r="216" spans="1:4" x14ac:dyDescent="0.45">
      <c r="A216" s="15">
        <v>43221</v>
      </c>
      <c r="B216">
        <v>6006</v>
      </c>
      <c r="C216" t="s">
        <v>72</v>
      </c>
      <c r="D216" s="19">
        <v>897</v>
      </c>
    </row>
    <row r="217" spans="1:4" x14ac:dyDescent="0.45">
      <c r="A217" s="15">
        <v>43252</v>
      </c>
      <c r="B217">
        <v>2001</v>
      </c>
      <c r="C217" t="s">
        <v>22</v>
      </c>
      <c r="D217" s="19">
        <v>569</v>
      </c>
    </row>
    <row r="218" spans="1:4" x14ac:dyDescent="0.45">
      <c r="A218" s="15">
        <v>43252</v>
      </c>
      <c r="B218">
        <v>2002</v>
      </c>
      <c r="C218" t="s">
        <v>23</v>
      </c>
      <c r="D218" s="19">
        <v>435</v>
      </c>
    </row>
    <row r="219" spans="1:4" x14ac:dyDescent="0.45">
      <c r="A219" s="15">
        <v>43252</v>
      </c>
      <c r="B219">
        <v>2003</v>
      </c>
      <c r="C219" t="s">
        <v>24</v>
      </c>
      <c r="D219" s="19">
        <v>562</v>
      </c>
    </row>
    <row r="220" spans="1:4" x14ac:dyDescent="0.45">
      <c r="A220" s="15">
        <v>43252</v>
      </c>
      <c r="B220">
        <v>2004</v>
      </c>
      <c r="C220" t="s">
        <v>25</v>
      </c>
      <c r="D220" s="19">
        <v>893</v>
      </c>
    </row>
    <row r="221" spans="1:4" x14ac:dyDescent="0.45">
      <c r="A221" s="15">
        <v>43252</v>
      </c>
      <c r="B221">
        <v>2005</v>
      </c>
      <c r="C221" t="s">
        <v>26</v>
      </c>
      <c r="D221" s="19">
        <v>845</v>
      </c>
    </row>
    <row r="222" spans="1:4" x14ac:dyDescent="0.45">
      <c r="A222" s="15">
        <v>43252</v>
      </c>
      <c r="B222">
        <v>2006</v>
      </c>
      <c r="C222" t="s">
        <v>27</v>
      </c>
      <c r="D222" s="19">
        <v>597</v>
      </c>
    </row>
    <row r="223" spans="1:4" x14ac:dyDescent="0.45">
      <c r="A223" s="15">
        <v>43252</v>
      </c>
      <c r="B223">
        <v>2007</v>
      </c>
      <c r="C223" t="s">
        <v>28</v>
      </c>
      <c r="D223" s="19">
        <v>464</v>
      </c>
    </row>
    <row r="224" spans="1:4" x14ac:dyDescent="0.45">
      <c r="A224" s="15">
        <v>43252</v>
      </c>
      <c r="B224">
        <v>2008</v>
      </c>
      <c r="C224" t="s">
        <v>29</v>
      </c>
      <c r="D224" s="19">
        <v>17</v>
      </c>
    </row>
    <row r="225" spans="1:4" x14ac:dyDescent="0.45">
      <c r="A225" s="15">
        <v>43252</v>
      </c>
      <c r="B225">
        <v>2009</v>
      </c>
      <c r="C225" t="s">
        <v>30</v>
      </c>
      <c r="D225" s="19">
        <v>707</v>
      </c>
    </row>
    <row r="226" spans="1:4" x14ac:dyDescent="0.45">
      <c r="A226" s="15">
        <v>43252</v>
      </c>
      <c r="B226">
        <v>2010</v>
      </c>
      <c r="C226" t="s">
        <v>31</v>
      </c>
      <c r="D226" s="19">
        <v>226</v>
      </c>
    </row>
    <row r="227" spans="1:4" x14ac:dyDescent="0.45">
      <c r="A227" s="15">
        <v>43252</v>
      </c>
      <c r="B227">
        <v>2011</v>
      </c>
      <c r="C227" t="s">
        <v>32</v>
      </c>
      <c r="D227" s="19">
        <v>763</v>
      </c>
    </row>
    <row r="228" spans="1:4" x14ac:dyDescent="0.45">
      <c r="A228" s="15">
        <v>43252</v>
      </c>
      <c r="B228">
        <v>2012</v>
      </c>
      <c r="C228" t="s">
        <v>33</v>
      </c>
      <c r="D228" s="19">
        <v>284</v>
      </c>
    </row>
    <row r="229" spans="1:4" x14ac:dyDescent="0.45">
      <c r="A229" s="15">
        <v>43252</v>
      </c>
      <c r="B229">
        <v>2013</v>
      </c>
      <c r="C229" t="s">
        <v>34</v>
      </c>
      <c r="D229" s="19">
        <v>659</v>
      </c>
    </row>
    <row r="230" spans="1:4" x14ac:dyDescent="0.45">
      <c r="A230" s="15">
        <v>43252</v>
      </c>
      <c r="B230">
        <v>2014</v>
      </c>
      <c r="C230" t="s">
        <v>35</v>
      </c>
      <c r="D230" s="19">
        <v>759</v>
      </c>
    </row>
    <row r="231" spans="1:4" x14ac:dyDescent="0.45">
      <c r="A231" s="15">
        <v>43252</v>
      </c>
      <c r="B231">
        <v>2015</v>
      </c>
      <c r="C231" t="s">
        <v>36</v>
      </c>
      <c r="D231" s="19">
        <v>773</v>
      </c>
    </row>
    <row r="232" spans="1:4" x14ac:dyDescent="0.45">
      <c r="A232" s="15">
        <v>43252</v>
      </c>
      <c r="B232">
        <v>2016</v>
      </c>
      <c r="C232" t="s">
        <v>37</v>
      </c>
      <c r="D232" s="19">
        <v>43</v>
      </c>
    </row>
    <row r="233" spans="1:4" x14ac:dyDescent="0.45">
      <c r="A233" s="15">
        <v>43252</v>
      </c>
      <c r="B233">
        <v>2017</v>
      </c>
      <c r="C233" t="s">
        <v>38</v>
      </c>
      <c r="D233" s="19">
        <v>172</v>
      </c>
    </row>
    <row r="234" spans="1:4" x14ac:dyDescent="0.45">
      <c r="A234" s="15">
        <v>43252</v>
      </c>
      <c r="B234">
        <v>3001</v>
      </c>
      <c r="C234" t="s">
        <v>41</v>
      </c>
      <c r="D234" s="19">
        <v>240</v>
      </c>
    </row>
    <row r="235" spans="1:4" x14ac:dyDescent="0.45">
      <c r="A235" s="15">
        <v>43252</v>
      </c>
      <c r="B235">
        <v>3002</v>
      </c>
      <c r="C235" t="s">
        <v>42</v>
      </c>
      <c r="D235" s="19">
        <v>191</v>
      </c>
    </row>
    <row r="236" spans="1:4" x14ac:dyDescent="0.45">
      <c r="A236" s="15">
        <v>43252</v>
      </c>
      <c r="B236">
        <v>3003</v>
      </c>
      <c r="C236" t="s">
        <v>43</v>
      </c>
      <c r="D236" s="19">
        <v>604</v>
      </c>
    </row>
    <row r="237" spans="1:4" x14ac:dyDescent="0.45">
      <c r="A237" s="15">
        <v>43252</v>
      </c>
      <c r="B237">
        <v>3004</v>
      </c>
      <c r="C237" t="s">
        <v>44</v>
      </c>
      <c r="D237" s="19">
        <v>649</v>
      </c>
    </row>
    <row r="238" spans="1:4" x14ac:dyDescent="0.45">
      <c r="A238" s="15">
        <v>43252</v>
      </c>
      <c r="B238">
        <v>3005</v>
      </c>
      <c r="C238" t="s">
        <v>45</v>
      </c>
      <c r="D238" s="19">
        <v>492</v>
      </c>
    </row>
    <row r="239" spans="1:4" x14ac:dyDescent="0.45">
      <c r="A239" s="15">
        <v>43252</v>
      </c>
      <c r="B239">
        <v>3006</v>
      </c>
      <c r="C239" t="s">
        <v>46</v>
      </c>
      <c r="D239" s="19">
        <v>729</v>
      </c>
    </row>
    <row r="240" spans="1:4" x14ac:dyDescent="0.45">
      <c r="A240" s="15">
        <v>43252</v>
      </c>
      <c r="B240">
        <v>3007</v>
      </c>
      <c r="C240" t="s">
        <v>47</v>
      </c>
      <c r="D240" s="19">
        <v>323</v>
      </c>
    </row>
    <row r="241" spans="1:4" x14ac:dyDescent="0.45">
      <c r="A241" s="15">
        <v>43252</v>
      </c>
      <c r="B241">
        <v>3008</v>
      </c>
      <c r="C241" t="s">
        <v>48</v>
      </c>
      <c r="D241" s="19">
        <v>780</v>
      </c>
    </row>
    <row r="242" spans="1:4" x14ac:dyDescent="0.45">
      <c r="A242" s="15">
        <v>43252</v>
      </c>
      <c r="B242">
        <v>3009</v>
      </c>
      <c r="C242" t="s">
        <v>49</v>
      </c>
      <c r="D242" s="19">
        <v>90</v>
      </c>
    </row>
    <row r="243" spans="1:4" x14ac:dyDescent="0.45">
      <c r="A243" s="15">
        <v>43252</v>
      </c>
      <c r="B243">
        <v>4001</v>
      </c>
      <c r="C243" t="s">
        <v>52</v>
      </c>
      <c r="D243" s="19">
        <v>209</v>
      </c>
    </row>
    <row r="244" spans="1:4" x14ac:dyDescent="0.45">
      <c r="A244" s="15">
        <v>43252</v>
      </c>
      <c r="B244">
        <v>4002</v>
      </c>
      <c r="C244" t="s">
        <v>53</v>
      </c>
      <c r="D244" s="19">
        <v>761</v>
      </c>
    </row>
    <row r="245" spans="1:4" x14ac:dyDescent="0.45">
      <c r="A245" s="15">
        <v>43252</v>
      </c>
      <c r="B245">
        <v>4003</v>
      </c>
      <c r="C245" t="s">
        <v>54</v>
      </c>
      <c r="D245" s="19">
        <v>321</v>
      </c>
    </row>
    <row r="246" spans="1:4" x14ac:dyDescent="0.45">
      <c r="A246" s="15">
        <v>43252</v>
      </c>
      <c r="B246">
        <v>5001</v>
      </c>
      <c r="C246" t="s">
        <v>57</v>
      </c>
      <c r="D246" s="19">
        <v>94048</v>
      </c>
    </row>
    <row r="247" spans="1:4" x14ac:dyDescent="0.45">
      <c r="A247" s="15">
        <v>43252</v>
      </c>
      <c r="B247">
        <v>5002</v>
      </c>
      <c r="C247" t="s">
        <v>58</v>
      </c>
      <c r="D247" s="19">
        <v>84</v>
      </c>
    </row>
    <row r="248" spans="1:4" x14ac:dyDescent="0.45">
      <c r="A248" s="15">
        <v>43252</v>
      </c>
      <c r="B248">
        <v>5003</v>
      </c>
      <c r="C248" t="s">
        <v>59</v>
      </c>
      <c r="D248" s="19">
        <v>91057</v>
      </c>
    </row>
    <row r="249" spans="1:4" x14ac:dyDescent="0.45">
      <c r="A249" s="15">
        <v>43252</v>
      </c>
      <c r="B249">
        <v>5004</v>
      </c>
      <c r="C249" t="s">
        <v>60</v>
      </c>
      <c r="D249" s="19">
        <v>73465</v>
      </c>
    </row>
    <row r="250" spans="1:4" x14ac:dyDescent="0.45">
      <c r="A250" s="15">
        <v>43252</v>
      </c>
      <c r="B250">
        <v>5005</v>
      </c>
      <c r="C250" t="s">
        <v>61</v>
      </c>
      <c r="D250" s="19">
        <v>66014</v>
      </c>
    </row>
    <row r="251" spans="1:4" x14ac:dyDescent="0.45">
      <c r="A251" s="15">
        <v>43252</v>
      </c>
      <c r="B251">
        <v>5006</v>
      </c>
      <c r="C251" t="s">
        <v>62</v>
      </c>
      <c r="D251" s="19">
        <v>43849</v>
      </c>
    </row>
    <row r="252" spans="1:4" x14ac:dyDescent="0.45">
      <c r="A252" s="15">
        <v>43252</v>
      </c>
      <c r="B252">
        <v>5007</v>
      </c>
      <c r="C252" t="s">
        <v>63</v>
      </c>
      <c r="D252" s="19">
        <v>93792</v>
      </c>
    </row>
    <row r="253" spans="1:4" x14ac:dyDescent="0.45">
      <c r="A253" s="15">
        <v>43252</v>
      </c>
      <c r="B253">
        <v>5008</v>
      </c>
      <c r="C253" t="s">
        <v>64</v>
      </c>
      <c r="D253" s="19">
        <v>60600</v>
      </c>
    </row>
    <row r="254" spans="1:4" x14ac:dyDescent="0.45">
      <c r="A254" s="15">
        <v>43252</v>
      </c>
      <c r="B254">
        <v>5009</v>
      </c>
      <c r="C254" t="s">
        <v>65</v>
      </c>
      <c r="D254" s="19">
        <v>13322</v>
      </c>
    </row>
    <row r="255" spans="1:4" x14ac:dyDescent="0.45">
      <c r="A255" s="15">
        <v>43252</v>
      </c>
      <c r="B255">
        <v>6002</v>
      </c>
      <c r="C255" t="s">
        <v>68</v>
      </c>
      <c r="D255" s="19">
        <v>853</v>
      </c>
    </row>
    <row r="256" spans="1:4" x14ac:dyDescent="0.45">
      <c r="A256" s="15">
        <v>43252</v>
      </c>
      <c r="B256">
        <v>6003</v>
      </c>
      <c r="C256" t="s">
        <v>69</v>
      </c>
      <c r="D256" s="19">
        <v>224</v>
      </c>
    </row>
    <row r="257" spans="1:4" x14ac:dyDescent="0.45">
      <c r="A257" s="15">
        <v>43252</v>
      </c>
      <c r="B257">
        <v>6004</v>
      </c>
      <c r="C257" t="s">
        <v>70</v>
      </c>
      <c r="D257" s="19">
        <v>879</v>
      </c>
    </row>
    <row r="258" spans="1:4" x14ac:dyDescent="0.45">
      <c r="A258" s="15">
        <v>43252</v>
      </c>
      <c r="B258">
        <v>6005</v>
      </c>
      <c r="C258" t="s">
        <v>71</v>
      </c>
      <c r="D258" s="19">
        <v>368</v>
      </c>
    </row>
    <row r="259" spans="1:4" x14ac:dyDescent="0.45">
      <c r="A259" s="15">
        <v>43252</v>
      </c>
      <c r="B259">
        <v>6006</v>
      </c>
      <c r="C259" t="s">
        <v>72</v>
      </c>
      <c r="D259" s="19">
        <v>404</v>
      </c>
    </row>
    <row r="260" spans="1:4" x14ac:dyDescent="0.45">
      <c r="A260" s="15">
        <v>43282</v>
      </c>
      <c r="B260">
        <v>2001</v>
      </c>
      <c r="C260" t="s">
        <v>22</v>
      </c>
      <c r="D260" s="19">
        <v>612</v>
      </c>
    </row>
    <row r="261" spans="1:4" x14ac:dyDescent="0.45">
      <c r="A261" s="15">
        <v>43282</v>
      </c>
      <c r="B261">
        <v>2002</v>
      </c>
      <c r="C261" t="s">
        <v>23</v>
      </c>
      <c r="D261" s="19">
        <v>354</v>
      </c>
    </row>
    <row r="262" spans="1:4" x14ac:dyDescent="0.45">
      <c r="A262" s="15">
        <v>43282</v>
      </c>
      <c r="B262">
        <v>2003</v>
      </c>
      <c r="C262" t="s">
        <v>24</v>
      </c>
      <c r="D262" s="19">
        <v>958</v>
      </c>
    </row>
    <row r="263" spans="1:4" x14ac:dyDescent="0.45">
      <c r="A263" s="15">
        <v>43282</v>
      </c>
      <c r="B263">
        <v>2004</v>
      </c>
      <c r="C263" t="s">
        <v>25</v>
      </c>
      <c r="D263" s="19">
        <v>769</v>
      </c>
    </row>
    <row r="264" spans="1:4" x14ac:dyDescent="0.45">
      <c r="A264" s="15">
        <v>43282</v>
      </c>
      <c r="B264">
        <v>2005</v>
      </c>
      <c r="C264" t="s">
        <v>26</v>
      </c>
      <c r="D264" s="19">
        <v>437</v>
      </c>
    </row>
    <row r="265" spans="1:4" x14ac:dyDescent="0.45">
      <c r="A265" s="15">
        <v>43282</v>
      </c>
      <c r="B265">
        <v>2006</v>
      </c>
      <c r="C265" t="s">
        <v>27</v>
      </c>
      <c r="D265" s="19">
        <v>82</v>
      </c>
    </row>
    <row r="266" spans="1:4" x14ac:dyDescent="0.45">
      <c r="A266" s="15">
        <v>43282</v>
      </c>
      <c r="B266">
        <v>2007</v>
      </c>
      <c r="C266" t="s">
        <v>28</v>
      </c>
      <c r="D266" s="19">
        <v>585</v>
      </c>
    </row>
    <row r="267" spans="1:4" x14ac:dyDescent="0.45">
      <c r="A267" s="15">
        <v>43282</v>
      </c>
      <c r="B267">
        <v>2008</v>
      </c>
      <c r="C267" t="s">
        <v>29</v>
      </c>
      <c r="D267" s="19">
        <v>774</v>
      </c>
    </row>
    <row r="268" spans="1:4" x14ac:dyDescent="0.45">
      <c r="A268" s="15">
        <v>43282</v>
      </c>
      <c r="B268">
        <v>2009</v>
      </c>
      <c r="C268" t="s">
        <v>30</v>
      </c>
      <c r="D268" s="19">
        <v>96</v>
      </c>
    </row>
    <row r="269" spans="1:4" x14ac:dyDescent="0.45">
      <c r="A269" s="15">
        <v>43282</v>
      </c>
      <c r="B269">
        <v>2010</v>
      </c>
      <c r="C269" t="s">
        <v>31</v>
      </c>
      <c r="D269" s="19">
        <v>385</v>
      </c>
    </row>
    <row r="270" spans="1:4" x14ac:dyDescent="0.45">
      <c r="A270" s="15">
        <v>43282</v>
      </c>
      <c r="B270">
        <v>2011</v>
      </c>
      <c r="C270" t="s">
        <v>32</v>
      </c>
      <c r="D270" s="19">
        <v>937</v>
      </c>
    </row>
    <row r="271" spans="1:4" x14ac:dyDescent="0.45">
      <c r="A271" s="15">
        <v>43282</v>
      </c>
      <c r="B271">
        <v>2012</v>
      </c>
      <c r="C271" t="s">
        <v>33</v>
      </c>
      <c r="D271" s="19">
        <v>738</v>
      </c>
    </row>
    <row r="272" spans="1:4" x14ac:dyDescent="0.45">
      <c r="A272" s="15">
        <v>43282</v>
      </c>
      <c r="B272">
        <v>2013</v>
      </c>
      <c r="C272" t="s">
        <v>34</v>
      </c>
      <c r="D272" s="19">
        <v>675</v>
      </c>
    </row>
    <row r="273" spans="1:4" x14ac:dyDescent="0.45">
      <c r="A273" s="15">
        <v>43282</v>
      </c>
      <c r="B273">
        <v>2014</v>
      </c>
      <c r="C273" t="s">
        <v>35</v>
      </c>
      <c r="D273" s="19">
        <v>909</v>
      </c>
    </row>
    <row r="274" spans="1:4" x14ac:dyDescent="0.45">
      <c r="A274" s="15">
        <v>43282</v>
      </c>
      <c r="B274">
        <v>2015</v>
      </c>
      <c r="C274" t="s">
        <v>36</v>
      </c>
      <c r="D274" s="19">
        <v>372</v>
      </c>
    </row>
    <row r="275" spans="1:4" x14ac:dyDescent="0.45">
      <c r="A275" s="15">
        <v>43282</v>
      </c>
      <c r="B275">
        <v>2016</v>
      </c>
      <c r="C275" t="s">
        <v>37</v>
      </c>
      <c r="D275" s="19">
        <v>763</v>
      </c>
    </row>
    <row r="276" spans="1:4" x14ac:dyDescent="0.45">
      <c r="A276" s="15">
        <v>43282</v>
      </c>
      <c r="B276">
        <v>2017</v>
      </c>
      <c r="C276" t="s">
        <v>38</v>
      </c>
      <c r="D276" s="19">
        <v>732</v>
      </c>
    </row>
    <row r="277" spans="1:4" x14ac:dyDescent="0.45">
      <c r="A277" s="15">
        <v>43282</v>
      </c>
      <c r="B277">
        <v>3001</v>
      </c>
      <c r="C277" t="s">
        <v>41</v>
      </c>
      <c r="D277" s="19">
        <v>268</v>
      </c>
    </row>
    <row r="278" spans="1:4" x14ac:dyDescent="0.45">
      <c r="A278" s="15">
        <v>43282</v>
      </c>
      <c r="B278">
        <v>3002</v>
      </c>
      <c r="C278" t="s">
        <v>42</v>
      </c>
      <c r="D278" s="19">
        <v>9</v>
      </c>
    </row>
    <row r="279" spans="1:4" x14ac:dyDescent="0.45">
      <c r="A279" s="15">
        <v>43282</v>
      </c>
      <c r="B279">
        <v>3003</v>
      </c>
      <c r="C279" t="s">
        <v>43</v>
      </c>
      <c r="D279" s="19">
        <v>418</v>
      </c>
    </row>
    <row r="280" spans="1:4" x14ac:dyDescent="0.45">
      <c r="A280" s="15">
        <v>43282</v>
      </c>
      <c r="B280">
        <v>3004</v>
      </c>
      <c r="C280" t="s">
        <v>44</v>
      </c>
      <c r="D280" s="19">
        <v>626</v>
      </c>
    </row>
    <row r="281" spans="1:4" x14ac:dyDescent="0.45">
      <c r="A281" s="15">
        <v>43282</v>
      </c>
      <c r="B281">
        <v>3005</v>
      </c>
      <c r="C281" t="s">
        <v>45</v>
      </c>
      <c r="D281" s="19">
        <v>225</v>
      </c>
    </row>
    <row r="282" spans="1:4" x14ac:dyDescent="0.45">
      <c r="A282" s="15">
        <v>43282</v>
      </c>
      <c r="B282">
        <v>3006</v>
      </c>
      <c r="C282" t="s">
        <v>46</v>
      </c>
      <c r="D282" s="19">
        <v>365</v>
      </c>
    </row>
    <row r="283" spans="1:4" x14ac:dyDescent="0.45">
      <c r="A283" s="15">
        <v>43282</v>
      </c>
      <c r="B283">
        <v>3007</v>
      </c>
      <c r="C283" t="s">
        <v>47</v>
      </c>
      <c r="D283" s="19">
        <v>221</v>
      </c>
    </row>
    <row r="284" spans="1:4" x14ac:dyDescent="0.45">
      <c r="A284" s="15">
        <v>43282</v>
      </c>
      <c r="B284">
        <v>3008</v>
      </c>
      <c r="C284" t="s">
        <v>48</v>
      </c>
      <c r="D284" s="19">
        <v>804</v>
      </c>
    </row>
    <row r="285" spans="1:4" x14ac:dyDescent="0.45">
      <c r="A285" s="15">
        <v>43282</v>
      </c>
      <c r="B285">
        <v>3009</v>
      </c>
      <c r="C285" t="s">
        <v>49</v>
      </c>
      <c r="D285" s="19">
        <v>88</v>
      </c>
    </row>
    <row r="286" spans="1:4" x14ac:dyDescent="0.45">
      <c r="A286" s="15">
        <v>43282</v>
      </c>
      <c r="B286">
        <v>4001</v>
      </c>
      <c r="C286" t="s">
        <v>52</v>
      </c>
      <c r="D286" s="19">
        <v>712</v>
      </c>
    </row>
    <row r="287" spans="1:4" x14ac:dyDescent="0.45">
      <c r="A287" s="15">
        <v>43282</v>
      </c>
      <c r="B287">
        <v>4002</v>
      </c>
      <c r="C287" t="s">
        <v>53</v>
      </c>
      <c r="D287" s="19">
        <v>374</v>
      </c>
    </row>
    <row r="288" spans="1:4" x14ac:dyDescent="0.45">
      <c r="A288" s="15">
        <v>43282</v>
      </c>
      <c r="B288">
        <v>4003</v>
      </c>
      <c r="C288" t="s">
        <v>54</v>
      </c>
      <c r="D288" s="19">
        <v>700</v>
      </c>
    </row>
    <row r="289" spans="1:4" x14ac:dyDescent="0.45">
      <c r="A289" s="15">
        <v>43282</v>
      </c>
      <c r="B289">
        <v>5001</v>
      </c>
      <c r="C289" t="s">
        <v>57</v>
      </c>
      <c r="D289" s="19">
        <v>60878</v>
      </c>
    </row>
    <row r="290" spans="1:4" x14ac:dyDescent="0.45">
      <c r="A290" s="15">
        <v>43282</v>
      </c>
      <c r="B290">
        <v>5002</v>
      </c>
      <c r="C290" t="s">
        <v>58</v>
      </c>
      <c r="D290" s="19">
        <v>15899</v>
      </c>
    </row>
    <row r="291" spans="1:4" x14ac:dyDescent="0.45">
      <c r="A291" s="15">
        <v>43282</v>
      </c>
      <c r="B291">
        <v>5003</v>
      </c>
      <c r="C291" t="s">
        <v>59</v>
      </c>
      <c r="D291" s="19">
        <v>68882</v>
      </c>
    </row>
    <row r="292" spans="1:4" x14ac:dyDescent="0.45">
      <c r="A292" s="15">
        <v>43282</v>
      </c>
      <c r="B292">
        <v>5004</v>
      </c>
      <c r="C292" t="s">
        <v>60</v>
      </c>
      <c r="D292" s="19">
        <v>92078</v>
      </c>
    </row>
    <row r="293" spans="1:4" x14ac:dyDescent="0.45">
      <c r="A293" s="15">
        <v>43282</v>
      </c>
      <c r="B293">
        <v>5005</v>
      </c>
      <c r="C293" t="s">
        <v>61</v>
      </c>
      <c r="D293" s="19">
        <v>86047</v>
      </c>
    </row>
    <row r="294" spans="1:4" x14ac:dyDescent="0.45">
      <c r="A294" s="15">
        <v>43282</v>
      </c>
      <c r="B294">
        <v>5006</v>
      </c>
      <c r="C294" t="s">
        <v>62</v>
      </c>
      <c r="D294" s="19">
        <v>8992</v>
      </c>
    </row>
    <row r="295" spans="1:4" x14ac:dyDescent="0.45">
      <c r="A295" s="15">
        <v>43282</v>
      </c>
      <c r="B295">
        <v>5007</v>
      </c>
      <c r="C295" t="s">
        <v>63</v>
      </c>
      <c r="D295" s="19">
        <v>53293</v>
      </c>
    </row>
    <row r="296" spans="1:4" x14ac:dyDescent="0.45">
      <c r="A296" s="15">
        <v>43282</v>
      </c>
      <c r="B296">
        <v>5008</v>
      </c>
      <c r="C296" t="s">
        <v>64</v>
      </c>
      <c r="D296" s="19">
        <v>36703</v>
      </c>
    </row>
    <row r="297" spans="1:4" x14ac:dyDescent="0.45">
      <c r="A297" s="15">
        <v>43282</v>
      </c>
      <c r="B297">
        <v>5009</v>
      </c>
      <c r="C297" t="s">
        <v>65</v>
      </c>
      <c r="D297" s="19">
        <v>14179</v>
      </c>
    </row>
    <row r="298" spans="1:4" x14ac:dyDescent="0.45">
      <c r="A298" s="15">
        <v>43282</v>
      </c>
      <c r="B298">
        <v>6002</v>
      </c>
      <c r="C298" t="s">
        <v>68</v>
      </c>
      <c r="D298" s="19">
        <v>694</v>
      </c>
    </row>
    <row r="299" spans="1:4" x14ac:dyDescent="0.45">
      <c r="A299" s="15">
        <v>43282</v>
      </c>
      <c r="B299">
        <v>6003</v>
      </c>
      <c r="C299" t="s">
        <v>69</v>
      </c>
      <c r="D299" s="19">
        <v>245</v>
      </c>
    </row>
    <row r="300" spans="1:4" x14ac:dyDescent="0.45">
      <c r="A300" s="15">
        <v>43282</v>
      </c>
      <c r="B300">
        <v>6004</v>
      </c>
      <c r="C300" t="s">
        <v>70</v>
      </c>
      <c r="D300" s="19">
        <v>370</v>
      </c>
    </row>
    <row r="301" spans="1:4" x14ac:dyDescent="0.45">
      <c r="A301" s="15">
        <v>43282</v>
      </c>
      <c r="B301">
        <v>6005</v>
      </c>
      <c r="C301" t="s">
        <v>71</v>
      </c>
      <c r="D301" s="19">
        <v>119</v>
      </c>
    </row>
    <row r="302" spans="1:4" x14ac:dyDescent="0.45">
      <c r="A302" s="15">
        <v>43282</v>
      </c>
      <c r="B302">
        <v>6006</v>
      </c>
      <c r="C302" t="s">
        <v>72</v>
      </c>
      <c r="D302" s="19">
        <v>464</v>
      </c>
    </row>
    <row r="303" spans="1:4" x14ac:dyDescent="0.45">
      <c r="A303" s="15">
        <v>43313</v>
      </c>
      <c r="B303">
        <v>2001</v>
      </c>
      <c r="C303" t="s">
        <v>22</v>
      </c>
      <c r="D303" s="19">
        <v>139</v>
      </c>
    </row>
    <row r="304" spans="1:4" x14ac:dyDescent="0.45">
      <c r="A304" s="15">
        <v>43313</v>
      </c>
      <c r="B304">
        <v>2002</v>
      </c>
      <c r="C304" t="s">
        <v>23</v>
      </c>
      <c r="D304" s="19">
        <v>199</v>
      </c>
    </row>
    <row r="305" spans="1:4" x14ac:dyDescent="0.45">
      <c r="A305" s="15">
        <v>43313</v>
      </c>
      <c r="B305">
        <v>2003</v>
      </c>
      <c r="C305" t="s">
        <v>24</v>
      </c>
      <c r="D305" s="19">
        <v>536</v>
      </c>
    </row>
    <row r="306" spans="1:4" x14ac:dyDescent="0.45">
      <c r="A306" s="15">
        <v>43313</v>
      </c>
      <c r="B306">
        <v>2004</v>
      </c>
      <c r="C306" t="s">
        <v>25</v>
      </c>
      <c r="D306" s="19">
        <v>625</v>
      </c>
    </row>
    <row r="307" spans="1:4" x14ac:dyDescent="0.45">
      <c r="A307" s="15">
        <v>43313</v>
      </c>
      <c r="B307">
        <v>2005</v>
      </c>
      <c r="C307" t="s">
        <v>26</v>
      </c>
      <c r="D307" s="19">
        <v>951</v>
      </c>
    </row>
    <row r="308" spans="1:4" x14ac:dyDescent="0.45">
      <c r="A308" s="15">
        <v>43313</v>
      </c>
      <c r="B308">
        <v>2006</v>
      </c>
      <c r="C308" t="s">
        <v>27</v>
      </c>
      <c r="D308" s="19">
        <v>81</v>
      </c>
    </row>
    <row r="309" spans="1:4" x14ac:dyDescent="0.45">
      <c r="A309" s="15">
        <v>43313</v>
      </c>
      <c r="B309">
        <v>2007</v>
      </c>
      <c r="C309" t="s">
        <v>28</v>
      </c>
      <c r="D309" s="19">
        <v>677</v>
      </c>
    </row>
    <row r="310" spans="1:4" x14ac:dyDescent="0.45">
      <c r="A310" s="15">
        <v>43313</v>
      </c>
      <c r="B310">
        <v>2008</v>
      </c>
      <c r="C310" t="s">
        <v>29</v>
      </c>
      <c r="D310" s="19">
        <v>227</v>
      </c>
    </row>
    <row r="311" spans="1:4" x14ac:dyDescent="0.45">
      <c r="A311" s="15">
        <v>43313</v>
      </c>
      <c r="B311">
        <v>2009</v>
      </c>
      <c r="C311" t="s">
        <v>30</v>
      </c>
      <c r="D311" s="19">
        <v>577</v>
      </c>
    </row>
    <row r="312" spans="1:4" x14ac:dyDescent="0.45">
      <c r="A312" s="15">
        <v>43313</v>
      </c>
      <c r="B312">
        <v>2010</v>
      </c>
      <c r="C312" t="s">
        <v>31</v>
      </c>
      <c r="D312" s="19">
        <v>627</v>
      </c>
    </row>
    <row r="313" spans="1:4" x14ac:dyDescent="0.45">
      <c r="A313" s="15">
        <v>43313</v>
      </c>
      <c r="B313">
        <v>2011</v>
      </c>
      <c r="C313" t="s">
        <v>32</v>
      </c>
      <c r="D313" s="19">
        <v>845</v>
      </c>
    </row>
    <row r="314" spans="1:4" x14ac:dyDescent="0.45">
      <c r="A314" s="15">
        <v>43313</v>
      </c>
      <c r="B314">
        <v>2012</v>
      </c>
      <c r="C314" t="s">
        <v>33</v>
      </c>
      <c r="D314" s="19">
        <v>266</v>
      </c>
    </row>
    <row r="315" spans="1:4" x14ac:dyDescent="0.45">
      <c r="A315" s="15">
        <v>43313</v>
      </c>
      <c r="B315">
        <v>2013</v>
      </c>
      <c r="C315" t="s">
        <v>34</v>
      </c>
      <c r="D315" s="19">
        <v>992</v>
      </c>
    </row>
    <row r="316" spans="1:4" x14ac:dyDescent="0.45">
      <c r="A316" s="15">
        <v>43313</v>
      </c>
      <c r="B316">
        <v>2014</v>
      </c>
      <c r="C316" t="s">
        <v>35</v>
      </c>
      <c r="D316" s="19">
        <v>275</v>
      </c>
    </row>
    <row r="317" spans="1:4" x14ac:dyDescent="0.45">
      <c r="A317" s="15">
        <v>43313</v>
      </c>
      <c r="B317">
        <v>2015</v>
      </c>
      <c r="C317" t="s">
        <v>36</v>
      </c>
      <c r="D317" s="19">
        <v>316</v>
      </c>
    </row>
    <row r="318" spans="1:4" x14ac:dyDescent="0.45">
      <c r="A318" s="15">
        <v>43313</v>
      </c>
      <c r="B318">
        <v>2016</v>
      </c>
      <c r="C318" t="s">
        <v>37</v>
      </c>
      <c r="D318" s="19">
        <v>55</v>
      </c>
    </row>
    <row r="319" spans="1:4" x14ac:dyDescent="0.45">
      <c r="A319" s="15">
        <v>43313</v>
      </c>
      <c r="B319">
        <v>2017</v>
      </c>
      <c r="C319" t="s">
        <v>38</v>
      </c>
      <c r="D319" s="19">
        <v>939</v>
      </c>
    </row>
    <row r="320" spans="1:4" x14ac:dyDescent="0.45">
      <c r="A320" s="15">
        <v>43313</v>
      </c>
      <c r="B320">
        <v>3001</v>
      </c>
      <c r="C320" t="s">
        <v>41</v>
      </c>
      <c r="D320" s="19">
        <v>833</v>
      </c>
    </row>
    <row r="321" spans="1:4" x14ac:dyDescent="0.45">
      <c r="A321" s="15">
        <v>43313</v>
      </c>
      <c r="B321">
        <v>3002</v>
      </c>
      <c r="C321" t="s">
        <v>42</v>
      </c>
      <c r="D321" s="19">
        <v>393</v>
      </c>
    </row>
    <row r="322" spans="1:4" x14ac:dyDescent="0.45">
      <c r="A322" s="15">
        <v>43313</v>
      </c>
      <c r="B322">
        <v>3003</v>
      </c>
      <c r="C322" t="s">
        <v>43</v>
      </c>
      <c r="D322" s="19">
        <v>205</v>
      </c>
    </row>
    <row r="323" spans="1:4" x14ac:dyDescent="0.45">
      <c r="A323" s="15">
        <v>43313</v>
      </c>
      <c r="B323">
        <v>3004</v>
      </c>
      <c r="C323" t="s">
        <v>44</v>
      </c>
      <c r="D323" s="19">
        <v>455</v>
      </c>
    </row>
    <row r="324" spans="1:4" x14ac:dyDescent="0.45">
      <c r="A324" s="15">
        <v>43313</v>
      </c>
      <c r="B324">
        <v>3005</v>
      </c>
      <c r="C324" t="s">
        <v>45</v>
      </c>
      <c r="D324" s="19">
        <v>942</v>
      </c>
    </row>
    <row r="325" spans="1:4" x14ac:dyDescent="0.45">
      <c r="A325" s="15">
        <v>43313</v>
      </c>
      <c r="B325">
        <v>3006</v>
      </c>
      <c r="C325" t="s">
        <v>46</v>
      </c>
      <c r="D325" s="19">
        <v>536</v>
      </c>
    </row>
    <row r="326" spans="1:4" x14ac:dyDescent="0.45">
      <c r="A326" s="15">
        <v>43313</v>
      </c>
      <c r="B326">
        <v>3007</v>
      </c>
      <c r="C326" t="s">
        <v>47</v>
      </c>
      <c r="D326" s="19">
        <v>15</v>
      </c>
    </row>
    <row r="327" spans="1:4" x14ac:dyDescent="0.45">
      <c r="A327" s="15">
        <v>43313</v>
      </c>
      <c r="B327">
        <v>3008</v>
      </c>
      <c r="C327" t="s">
        <v>48</v>
      </c>
      <c r="D327" s="19">
        <v>483</v>
      </c>
    </row>
    <row r="328" spans="1:4" x14ac:dyDescent="0.45">
      <c r="A328" s="15">
        <v>43313</v>
      </c>
      <c r="B328">
        <v>3009</v>
      </c>
      <c r="C328" t="s">
        <v>49</v>
      </c>
      <c r="D328" s="19">
        <v>802</v>
      </c>
    </row>
    <row r="329" spans="1:4" x14ac:dyDescent="0.45">
      <c r="A329" s="15">
        <v>43313</v>
      </c>
      <c r="B329">
        <v>4001</v>
      </c>
      <c r="C329" t="s">
        <v>52</v>
      </c>
      <c r="D329" s="19">
        <v>153</v>
      </c>
    </row>
    <row r="330" spans="1:4" x14ac:dyDescent="0.45">
      <c r="A330" s="15">
        <v>43313</v>
      </c>
      <c r="B330">
        <v>4002</v>
      </c>
      <c r="C330" t="s">
        <v>53</v>
      </c>
      <c r="D330" s="19">
        <v>83</v>
      </c>
    </row>
    <row r="331" spans="1:4" x14ac:dyDescent="0.45">
      <c r="A331" s="15">
        <v>43313</v>
      </c>
      <c r="B331">
        <v>4003</v>
      </c>
      <c r="C331" t="s">
        <v>54</v>
      </c>
      <c r="D331" s="19">
        <v>188</v>
      </c>
    </row>
    <row r="332" spans="1:4" x14ac:dyDescent="0.45">
      <c r="A332" s="15">
        <v>43313</v>
      </c>
      <c r="B332">
        <v>5001</v>
      </c>
      <c r="C332" t="s">
        <v>57</v>
      </c>
      <c r="D332" s="19">
        <v>16040</v>
      </c>
    </row>
    <row r="333" spans="1:4" x14ac:dyDescent="0.45">
      <c r="A333" s="15">
        <v>43313</v>
      </c>
      <c r="B333">
        <v>5002</v>
      </c>
      <c r="C333" t="s">
        <v>58</v>
      </c>
      <c r="D333" s="19">
        <v>57619</v>
      </c>
    </row>
    <row r="334" spans="1:4" x14ac:dyDescent="0.45">
      <c r="A334" s="15">
        <v>43313</v>
      </c>
      <c r="B334">
        <v>5003</v>
      </c>
      <c r="C334" t="s">
        <v>59</v>
      </c>
      <c r="D334" s="19">
        <v>23967</v>
      </c>
    </row>
    <row r="335" spans="1:4" x14ac:dyDescent="0.45">
      <c r="A335" s="15">
        <v>43313</v>
      </c>
      <c r="B335">
        <v>5004</v>
      </c>
      <c r="C335" t="s">
        <v>60</v>
      </c>
      <c r="D335" s="19">
        <v>46031</v>
      </c>
    </row>
    <row r="336" spans="1:4" x14ac:dyDescent="0.45">
      <c r="A336" s="15">
        <v>43313</v>
      </c>
      <c r="B336">
        <v>5005</v>
      </c>
      <c r="C336" t="s">
        <v>61</v>
      </c>
      <c r="D336" s="19">
        <v>44565</v>
      </c>
    </row>
    <row r="337" spans="1:4" x14ac:dyDescent="0.45">
      <c r="A337" s="15">
        <v>43313</v>
      </c>
      <c r="B337">
        <v>5006</v>
      </c>
      <c r="C337" t="s">
        <v>62</v>
      </c>
      <c r="D337" s="19">
        <v>872</v>
      </c>
    </row>
    <row r="338" spans="1:4" x14ac:dyDescent="0.45">
      <c r="A338" s="15">
        <v>43313</v>
      </c>
      <c r="B338">
        <v>5007</v>
      </c>
      <c r="C338" t="s">
        <v>63</v>
      </c>
      <c r="D338" s="19">
        <v>93581</v>
      </c>
    </row>
    <row r="339" spans="1:4" x14ac:dyDescent="0.45">
      <c r="A339" s="15">
        <v>43313</v>
      </c>
      <c r="B339">
        <v>5008</v>
      </c>
      <c r="C339" t="s">
        <v>64</v>
      </c>
      <c r="D339" s="19">
        <v>84065</v>
      </c>
    </row>
    <row r="340" spans="1:4" x14ac:dyDescent="0.45">
      <c r="A340" s="15">
        <v>43313</v>
      </c>
      <c r="B340">
        <v>5009</v>
      </c>
      <c r="C340" t="s">
        <v>65</v>
      </c>
      <c r="D340" s="19">
        <v>87126</v>
      </c>
    </row>
    <row r="341" spans="1:4" x14ac:dyDescent="0.45">
      <c r="A341" s="15">
        <v>43313</v>
      </c>
      <c r="B341">
        <v>6002</v>
      </c>
      <c r="C341" t="s">
        <v>68</v>
      </c>
      <c r="D341" s="19">
        <v>832</v>
      </c>
    </row>
    <row r="342" spans="1:4" x14ac:dyDescent="0.45">
      <c r="A342" s="15">
        <v>43313</v>
      </c>
      <c r="B342">
        <v>6003</v>
      </c>
      <c r="C342" t="s">
        <v>69</v>
      </c>
      <c r="D342" s="19">
        <v>37</v>
      </c>
    </row>
    <row r="343" spans="1:4" x14ac:dyDescent="0.45">
      <c r="A343" s="15">
        <v>43313</v>
      </c>
      <c r="B343">
        <v>6004</v>
      </c>
      <c r="C343" t="s">
        <v>70</v>
      </c>
      <c r="D343" s="19">
        <v>992</v>
      </c>
    </row>
    <row r="344" spans="1:4" x14ac:dyDescent="0.45">
      <c r="A344" s="15">
        <v>43313</v>
      </c>
      <c r="B344">
        <v>6005</v>
      </c>
      <c r="C344" t="s">
        <v>71</v>
      </c>
      <c r="D344" s="19">
        <v>931</v>
      </c>
    </row>
    <row r="345" spans="1:4" x14ac:dyDescent="0.45">
      <c r="A345" s="15">
        <v>43313</v>
      </c>
      <c r="B345">
        <v>6006</v>
      </c>
      <c r="C345" t="s">
        <v>72</v>
      </c>
      <c r="D345" s="19">
        <v>338</v>
      </c>
    </row>
    <row r="346" spans="1:4" x14ac:dyDescent="0.45">
      <c r="A346" s="15">
        <v>43344</v>
      </c>
      <c r="B346">
        <v>2001</v>
      </c>
      <c r="C346" t="s">
        <v>22</v>
      </c>
      <c r="D346" s="19">
        <v>559</v>
      </c>
    </row>
    <row r="347" spans="1:4" x14ac:dyDescent="0.45">
      <c r="A347" s="15">
        <v>43344</v>
      </c>
      <c r="B347">
        <v>2002</v>
      </c>
      <c r="C347" t="s">
        <v>23</v>
      </c>
      <c r="D347" s="19">
        <v>546</v>
      </c>
    </row>
    <row r="348" spans="1:4" x14ac:dyDescent="0.45">
      <c r="A348" s="15">
        <v>43344</v>
      </c>
      <c r="B348">
        <v>2003</v>
      </c>
      <c r="C348" t="s">
        <v>24</v>
      </c>
      <c r="D348" s="19">
        <v>258</v>
      </c>
    </row>
    <row r="349" spans="1:4" x14ac:dyDescent="0.45">
      <c r="A349" s="15">
        <v>43344</v>
      </c>
      <c r="B349">
        <v>2004</v>
      </c>
      <c r="C349" t="s">
        <v>25</v>
      </c>
      <c r="D349" s="19">
        <v>867</v>
      </c>
    </row>
    <row r="350" spans="1:4" x14ac:dyDescent="0.45">
      <c r="A350" s="15">
        <v>43344</v>
      </c>
      <c r="B350">
        <v>2005</v>
      </c>
      <c r="C350" t="s">
        <v>26</v>
      </c>
      <c r="D350" s="19">
        <v>510</v>
      </c>
    </row>
    <row r="351" spans="1:4" x14ac:dyDescent="0.45">
      <c r="A351" s="15">
        <v>43344</v>
      </c>
      <c r="B351">
        <v>2006</v>
      </c>
      <c r="C351" t="s">
        <v>27</v>
      </c>
      <c r="D351" s="19">
        <v>432</v>
      </c>
    </row>
    <row r="352" spans="1:4" x14ac:dyDescent="0.45">
      <c r="A352" s="15">
        <v>43344</v>
      </c>
      <c r="B352">
        <v>2007</v>
      </c>
      <c r="C352" t="s">
        <v>28</v>
      </c>
      <c r="D352" s="19">
        <v>112</v>
      </c>
    </row>
    <row r="353" spans="1:4" x14ac:dyDescent="0.45">
      <c r="A353" s="15">
        <v>43344</v>
      </c>
      <c r="B353">
        <v>2008</v>
      </c>
      <c r="C353" t="s">
        <v>29</v>
      </c>
      <c r="D353" s="19">
        <v>772</v>
      </c>
    </row>
    <row r="354" spans="1:4" x14ac:dyDescent="0.45">
      <c r="A354" s="15">
        <v>43344</v>
      </c>
      <c r="B354">
        <v>2009</v>
      </c>
      <c r="C354" t="s">
        <v>30</v>
      </c>
      <c r="D354" s="19">
        <v>893</v>
      </c>
    </row>
    <row r="355" spans="1:4" x14ac:dyDescent="0.45">
      <c r="A355" s="15">
        <v>43344</v>
      </c>
      <c r="B355">
        <v>2010</v>
      </c>
      <c r="C355" t="s">
        <v>31</v>
      </c>
      <c r="D355" s="19">
        <v>752</v>
      </c>
    </row>
    <row r="356" spans="1:4" x14ac:dyDescent="0.45">
      <c r="A356" s="15">
        <v>43344</v>
      </c>
      <c r="B356">
        <v>2011</v>
      </c>
      <c r="C356" t="s">
        <v>32</v>
      </c>
      <c r="D356" s="19">
        <v>749</v>
      </c>
    </row>
    <row r="357" spans="1:4" x14ac:dyDescent="0.45">
      <c r="A357" s="15">
        <v>43344</v>
      </c>
      <c r="B357">
        <v>2012</v>
      </c>
      <c r="C357" t="s">
        <v>33</v>
      </c>
      <c r="D357" s="19">
        <v>528</v>
      </c>
    </row>
    <row r="358" spans="1:4" x14ac:dyDescent="0.45">
      <c r="A358" s="15">
        <v>43344</v>
      </c>
      <c r="B358">
        <v>2013</v>
      </c>
      <c r="C358" t="s">
        <v>34</v>
      </c>
      <c r="D358" s="19">
        <v>788</v>
      </c>
    </row>
    <row r="359" spans="1:4" x14ac:dyDescent="0.45">
      <c r="A359" s="15">
        <v>43344</v>
      </c>
      <c r="B359">
        <v>2014</v>
      </c>
      <c r="C359" t="s">
        <v>35</v>
      </c>
      <c r="D359" s="19">
        <v>772</v>
      </c>
    </row>
    <row r="360" spans="1:4" x14ac:dyDescent="0.45">
      <c r="A360" s="15">
        <v>43344</v>
      </c>
      <c r="B360">
        <v>2015</v>
      </c>
      <c r="C360" t="s">
        <v>36</v>
      </c>
      <c r="D360" s="19">
        <v>257</v>
      </c>
    </row>
    <row r="361" spans="1:4" x14ac:dyDescent="0.45">
      <c r="A361" s="15">
        <v>43344</v>
      </c>
      <c r="B361">
        <v>2016</v>
      </c>
      <c r="C361" t="s">
        <v>37</v>
      </c>
      <c r="D361" s="19">
        <v>991</v>
      </c>
    </row>
    <row r="362" spans="1:4" x14ac:dyDescent="0.45">
      <c r="A362" s="15">
        <v>43344</v>
      </c>
      <c r="B362">
        <v>2017</v>
      </c>
      <c r="C362" t="s">
        <v>38</v>
      </c>
      <c r="D362" s="19">
        <v>820</v>
      </c>
    </row>
    <row r="363" spans="1:4" x14ac:dyDescent="0.45">
      <c r="A363" s="15">
        <v>43344</v>
      </c>
      <c r="B363">
        <v>3001</v>
      </c>
      <c r="C363" t="s">
        <v>41</v>
      </c>
      <c r="D363" s="19">
        <v>17</v>
      </c>
    </row>
    <row r="364" spans="1:4" x14ac:dyDescent="0.45">
      <c r="A364" s="15">
        <v>43344</v>
      </c>
      <c r="B364">
        <v>3002</v>
      </c>
      <c r="C364" t="s">
        <v>42</v>
      </c>
      <c r="D364" s="19">
        <v>345</v>
      </c>
    </row>
    <row r="365" spans="1:4" x14ac:dyDescent="0.45">
      <c r="A365" s="15">
        <v>43344</v>
      </c>
      <c r="B365">
        <v>3003</v>
      </c>
      <c r="C365" t="s">
        <v>43</v>
      </c>
      <c r="D365" s="19">
        <v>494</v>
      </c>
    </row>
    <row r="366" spans="1:4" x14ac:dyDescent="0.45">
      <c r="A366" s="15">
        <v>43344</v>
      </c>
      <c r="B366">
        <v>3004</v>
      </c>
      <c r="C366" t="s">
        <v>44</v>
      </c>
      <c r="D366" s="19">
        <v>23</v>
      </c>
    </row>
    <row r="367" spans="1:4" x14ac:dyDescent="0.45">
      <c r="A367" s="15">
        <v>43344</v>
      </c>
      <c r="B367">
        <v>3005</v>
      </c>
      <c r="C367" t="s">
        <v>45</v>
      </c>
      <c r="D367" s="19">
        <v>553</v>
      </c>
    </row>
    <row r="368" spans="1:4" x14ac:dyDescent="0.45">
      <c r="A368" s="15">
        <v>43344</v>
      </c>
      <c r="B368">
        <v>3006</v>
      </c>
      <c r="C368" t="s">
        <v>46</v>
      </c>
      <c r="D368" s="19">
        <v>675</v>
      </c>
    </row>
    <row r="369" spans="1:4" x14ac:dyDescent="0.45">
      <c r="A369" s="15">
        <v>43344</v>
      </c>
      <c r="B369">
        <v>3007</v>
      </c>
      <c r="C369" t="s">
        <v>47</v>
      </c>
      <c r="D369" s="19">
        <v>17</v>
      </c>
    </row>
    <row r="370" spans="1:4" x14ac:dyDescent="0.45">
      <c r="A370" s="15">
        <v>43344</v>
      </c>
      <c r="B370">
        <v>3008</v>
      </c>
      <c r="C370" t="s">
        <v>48</v>
      </c>
      <c r="D370" s="19">
        <v>492</v>
      </c>
    </row>
    <row r="371" spans="1:4" x14ac:dyDescent="0.45">
      <c r="A371" s="15">
        <v>43344</v>
      </c>
      <c r="B371">
        <v>3009</v>
      </c>
      <c r="C371" t="s">
        <v>49</v>
      </c>
      <c r="D371" s="19">
        <v>475</v>
      </c>
    </row>
    <row r="372" spans="1:4" x14ac:dyDescent="0.45">
      <c r="A372" s="15">
        <v>43344</v>
      </c>
      <c r="B372">
        <v>4001</v>
      </c>
      <c r="C372" t="s">
        <v>52</v>
      </c>
      <c r="D372" s="19">
        <v>587</v>
      </c>
    </row>
    <row r="373" spans="1:4" x14ac:dyDescent="0.45">
      <c r="A373" s="15">
        <v>43344</v>
      </c>
      <c r="B373">
        <v>4002</v>
      </c>
      <c r="C373" t="s">
        <v>53</v>
      </c>
      <c r="D373" s="19">
        <v>307</v>
      </c>
    </row>
    <row r="374" spans="1:4" x14ac:dyDescent="0.45">
      <c r="A374" s="15">
        <v>43344</v>
      </c>
      <c r="B374">
        <v>4003</v>
      </c>
      <c r="C374" t="s">
        <v>54</v>
      </c>
      <c r="D374" s="19">
        <v>565</v>
      </c>
    </row>
    <row r="375" spans="1:4" x14ac:dyDescent="0.45">
      <c r="A375" s="15">
        <v>43344</v>
      </c>
      <c r="B375">
        <v>5001</v>
      </c>
      <c r="C375" t="s">
        <v>57</v>
      </c>
      <c r="D375" s="19">
        <v>94406</v>
      </c>
    </row>
    <row r="376" spans="1:4" x14ac:dyDescent="0.45">
      <c r="A376" s="15">
        <v>43344</v>
      </c>
      <c r="B376">
        <v>5002</v>
      </c>
      <c r="C376" t="s">
        <v>58</v>
      </c>
      <c r="D376" s="19">
        <v>74242</v>
      </c>
    </row>
    <row r="377" spans="1:4" x14ac:dyDescent="0.45">
      <c r="A377" s="15">
        <v>43344</v>
      </c>
      <c r="B377">
        <v>5003</v>
      </c>
      <c r="C377" t="s">
        <v>59</v>
      </c>
      <c r="D377" s="19">
        <v>42046</v>
      </c>
    </row>
    <row r="378" spans="1:4" x14ac:dyDescent="0.45">
      <c r="A378" s="15">
        <v>43344</v>
      </c>
      <c r="B378">
        <v>5004</v>
      </c>
      <c r="C378" t="s">
        <v>60</v>
      </c>
      <c r="D378" s="19">
        <v>13914</v>
      </c>
    </row>
    <row r="379" spans="1:4" x14ac:dyDescent="0.45">
      <c r="A379" s="15">
        <v>43344</v>
      </c>
      <c r="B379">
        <v>5005</v>
      </c>
      <c r="C379" t="s">
        <v>61</v>
      </c>
      <c r="D379" s="19">
        <v>38265</v>
      </c>
    </row>
    <row r="380" spans="1:4" x14ac:dyDescent="0.45">
      <c r="A380" s="15">
        <v>43344</v>
      </c>
      <c r="B380">
        <v>5006</v>
      </c>
      <c r="C380" t="s">
        <v>62</v>
      </c>
      <c r="D380" s="19">
        <v>2320</v>
      </c>
    </row>
    <row r="381" spans="1:4" x14ac:dyDescent="0.45">
      <c r="A381" s="15">
        <v>43344</v>
      </c>
      <c r="B381">
        <v>5007</v>
      </c>
      <c r="C381" t="s">
        <v>63</v>
      </c>
      <c r="D381" s="19">
        <v>9739</v>
      </c>
    </row>
    <row r="382" spans="1:4" x14ac:dyDescent="0.45">
      <c r="A382" s="15">
        <v>43344</v>
      </c>
      <c r="B382">
        <v>5008</v>
      </c>
      <c r="C382" t="s">
        <v>64</v>
      </c>
      <c r="D382" s="19">
        <v>22642</v>
      </c>
    </row>
    <row r="383" spans="1:4" x14ac:dyDescent="0.45">
      <c r="A383" s="15">
        <v>43344</v>
      </c>
      <c r="B383">
        <v>5009</v>
      </c>
      <c r="C383" t="s">
        <v>65</v>
      </c>
      <c r="D383" s="19">
        <v>74981</v>
      </c>
    </row>
    <row r="384" spans="1:4" x14ac:dyDescent="0.45">
      <c r="A384" s="15">
        <v>43344</v>
      </c>
      <c r="B384">
        <v>6002</v>
      </c>
      <c r="C384" t="s">
        <v>68</v>
      </c>
      <c r="D384" s="19">
        <v>813</v>
      </c>
    </row>
    <row r="385" spans="1:4" x14ac:dyDescent="0.45">
      <c r="A385" s="15">
        <v>43344</v>
      </c>
      <c r="B385">
        <v>6003</v>
      </c>
      <c r="C385" t="s">
        <v>69</v>
      </c>
      <c r="D385" s="19">
        <v>745</v>
      </c>
    </row>
    <row r="386" spans="1:4" x14ac:dyDescent="0.45">
      <c r="A386" s="15">
        <v>43344</v>
      </c>
      <c r="B386">
        <v>6004</v>
      </c>
      <c r="C386" t="s">
        <v>70</v>
      </c>
      <c r="D386" s="19">
        <v>584</v>
      </c>
    </row>
    <row r="387" spans="1:4" x14ac:dyDescent="0.45">
      <c r="A387" s="15">
        <v>43344</v>
      </c>
      <c r="B387">
        <v>6005</v>
      </c>
      <c r="C387" t="s">
        <v>71</v>
      </c>
      <c r="D387" s="19">
        <v>777</v>
      </c>
    </row>
    <row r="388" spans="1:4" x14ac:dyDescent="0.45">
      <c r="A388" s="15">
        <v>43344</v>
      </c>
      <c r="B388">
        <v>6006</v>
      </c>
      <c r="C388" t="s">
        <v>72</v>
      </c>
      <c r="D388" s="19">
        <v>923</v>
      </c>
    </row>
    <row r="389" spans="1:4" x14ac:dyDescent="0.45">
      <c r="A389" s="15">
        <v>43374</v>
      </c>
      <c r="B389">
        <v>2001</v>
      </c>
      <c r="C389" t="s">
        <v>22</v>
      </c>
      <c r="D389" s="19">
        <v>582</v>
      </c>
    </row>
    <row r="390" spans="1:4" x14ac:dyDescent="0.45">
      <c r="A390" s="15">
        <v>43374</v>
      </c>
      <c r="B390">
        <v>2002</v>
      </c>
      <c r="C390" t="s">
        <v>23</v>
      </c>
      <c r="D390" s="19">
        <v>937</v>
      </c>
    </row>
    <row r="391" spans="1:4" x14ac:dyDescent="0.45">
      <c r="A391" s="15">
        <v>43374</v>
      </c>
      <c r="B391">
        <v>2003</v>
      </c>
      <c r="C391" t="s">
        <v>24</v>
      </c>
      <c r="D391" s="19">
        <v>879</v>
      </c>
    </row>
    <row r="392" spans="1:4" x14ac:dyDescent="0.45">
      <c r="A392" s="15">
        <v>43374</v>
      </c>
      <c r="B392">
        <v>2004</v>
      </c>
      <c r="C392" t="s">
        <v>25</v>
      </c>
      <c r="D392" s="19">
        <v>835</v>
      </c>
    </row>
    <row r="393" spans="1:4" x14ac:dyDescent="0.45">
      <c r="A393" s="15">
        <v>43374</v>
      </c>
      <c r="B393">
        <v>2005</v>
      </c>
      <c r="C393" t="s">
        <v>26</v>
      </c>
      <c r="D393" s="19">
        <v>333</v>
      </c>
    </row>
    <row r="394" spans="1:4" x14ac:dyDescent="0.45">
      <c r="A394" s="15">
        <v>43374</v>
      </c>
      <c r="B394">
        <v>2006</v>
      </c>
      <c r="C394" t="s">
        <v>27</v>
      </c>
      <c r="D394" s="19">
        <v>554</v>
      </c>
    </row>
    <row r="395" spans="1:4" x14ac:dyDescent="0.45">
      <c r="A395" s="15">
        <v>43374</v>
      </c>
      <c r="B395">
        <v>2007</v>
      </c>
      <c r="C395" t="s">
        <v>28</v>
      </c>
      <c r="D395" s="19">
        <v>774</v>
      </c>
    </row>
    <row r="396" spans="1:4" x14ac:dyDescent="0.45">
      <c r="A396" s="15">
        <v>43374</v>
      </c>
      <c r="B396">
        <v>2008</v>
      </c>
      <c r="C396" t="s">
        <v>29</v>
      </c>
      <c r="D396" s="19">
        <v>502</v>
      </c>
    </row>
    <row r="397" spans="1:4" x14ac:dyDescent="0.45">
      <c r="A397" s="15">
        <v>43374</v>
      </c>
      <c r="B397">
        <v>2009</v>
      </c>
      <c r="C397" t="s">
        <v>30</v>
      </c>
      <c r="D397" s="19">
        <v>550</v>
      </c>
    </row>
    <row r="398" spans="1:4" x14ac:dyDescent="0.45">
      <c r="A398" s="15">
        <v>43374</v>
      </c>
      <c r="B398">
        <v>2010</v>
      </c>
      <c r="C398" t="s">
        <v>31</v>
      </c>
      <c r="D398" s="19">
        <v>696</v>
      </c>
    </row>
    <row r="399" spans="1:4" x14ac:dyDescent="0.45">
      <c r="A399" s="15">
        <v>43374</v>
      </c>
      <c r="B399">
        <v>2011</v>
      </c>
      <c r="C399" t="s">
        <v>32</v>
      </c>
      <c r="D399" s="19">
        <v>136</v>
      </c>
    </row>
    <row r="400" spans="1:4" x14ac:dyDescent="0.45">
      <c r="A400" s="15">
        <v>43374</v>
      </c>
      <c r="B400">
        <v>2012</v>
      </c>
      <c r="C400" t="s">
        <v>33</v>
      </c>
      <c r="D400" s="19">
        <v>155</v>
      </c>
    </row>
    <row r="401" spans="1:4" x14ac:dyDescent="0.45">
      <c r="A401" s="15">
        <v>43374</v>
      </c>
      <c r="B401">
        <v>2013</v>
      </c>
      <c r="C401" t="s">
        <v>34</v>
      </c>
      <c r="D401" s="19">
        <v>392</v>
      </c>
    </row>
    <row r="402" spans="1:4" x14ac:dyDescent="0.45">
      <c r="A402" s="15">
        <v>43374</v>
      </c>
      <c r="B402">
        <v>2014</v>
      </c>
      <c r="C402" t="s">
        <v>35</v>
      </c>
      <c r="D402" s="19">
        <v>800</v>
      </c>
    </row>
    <row r="403" spans="1:4" x14ac:dyDescent="0.45">
      <c r="A403" s="15">
        <v>43374</v>
      </c>
      <c r="B403">
        <v>2015</v>
      </c>
      <c r="C403" t="s">
        <v>36</v>
      </c>
      <c r="D403" s="19">
        <v>957</v>
      </c>
    </row>
    <row r="404" spans="1:4" x14ac:dyDescent="0.45">
      <c r="A404" s="15">
        <v>43374</v>
      </c>
      <c r="B404">
        <v>2016</v>
      </c>
      <c r="C404" t="s">
        <v>37</v>
      </c>
      <c r="D404" s="19">
        <v>514</v>
      </c>
    </row>
    <row r="405" spans="1:4" x14ac:dyDescent="0.45">
      <c r="A405" s="15">
        <v>43374</v>
      </c>
      <c r="B405">
        <v>2017</v>
      </c>
      <c r="C405" t="s">
        <v>38</v>
      </c>
      <c r="D405" s="19">
        <v>5</v>
      </c>
    </row>
    <row r="406" spans="1:4" x14ac:dyDescent="0.45">
      <c r="A406" s="15">
        <v>43374</v>
      </c>
      <c r="B406">
        <v>3001</v>
      </c>
      <c r="C406" t="s">
        <v>41</v>
      </c>
      <c r="D406" s="19">
        <v>524</v>
      </c>
    </row>
    <row r="407" spans="1:4" x14ac:dyDescent="0.45">
      <c r="A407" s="15">
        <v>43374</v>
      </c>
      <c r="B407">
        <v>3002</v>
      </c>
      <c r="C407" t="s">
        <v>42</v>
      </c>
      <c r="D407" s="19">
        <v>601</v>
      </c>
    </row>
    <row r="408" spans="1:4" x14ac:dyDescent="0.45">
      <c r="A408" s="15">
        <v>43374</v>
      </c>
      <c r="B408">
        <v>3003</v>
      </c>
      <c r="C408" t="s">
        <v>43</v>
      </c>
      <c r="D408" s="19">
        <v>714</v>
      </c>
    </row>
    <row r="409" spans="1:4" x14ac:dyDescent="0.45">
      <c r="A409" s="15">
        <v>43374</v>
      </c>
      <c r="B409">
        <v>3004</v>
      </c>
      <c r="C409" t="s">
        <v>44</v>
      </c>
      <c r="D409" s="19">
        <v>542</v>
      </c>
    </row>
    <row r="410" spans="1:4" x14ac:dyDescent="0.45">
      <c r="A410" s="15">
        <v>43374</v>
      </c>
      <c r="B410">
        <v>3005</v>
      </c>
      <c r="C410" t="s">
        <v>45</v>
      </c>
      <c r="D410" s="19">
        <v>83</v>
      </c>
    </row>
    <row r="411" spans="1:4" x14ac:dyDescent="0.45">
      <c r="A411" s="15">
        <v>43374</v>
      </c>
      <c r="B411">
        <v>3006</v>
      </c>
      <c r="C411" t="s">
        <v>46</v>
      </c>
      <c r="D411" s="19">
        <v>555</v>
      </c>
    </row>
    <row r="412" spans="1:4" x14ac:dyDescent="0.45">
      <c r="A412" s="15">
        <v>43374</v>
      </c>
      <c r="B412">
        <v>3007</v>
      </c>
      <c r="C412" t="s">
        <v>47</v>
      </c>
      <c r="D412" s="19">
        <v>529</v>
      </c>
    </row>
    <row r="413" spans="1:4" x14ac:dyDescent="0.45">
      <c r="A413" s="15">
        <v>43374</v>
      </c>
      <c r="B413">
        <v>3008</v>
      </c>
      <c r="C413" t="s">
        <v>48</v>
      </c>
      <c r="D413" s="19">
        <v>505</v>
      </c>
    </row>
    <row r="414" spans="1:4" x14ac:dyDescent="0.45">
      <c r="A414" s="15">
        <v>43374</v>
      </c>
      <c r="B414">
        <v>3009</v>
      </c>
      <c r="C414" t="s">
        <v>49</v>
      </c>
      <c r="D414" s="19">
        <v>972</v>
      </c>
    </row>
    <row r="415" spans="1:4" x14ac:dyDescent="0.45">
      <c r="A415" s="15">
        <v>43374</v>
      </c>
      <c r="B415">
        <v>4001</v>
      </c>
      <c r="C415" t="s">
        <v>52</v>
      </c>
      <c r="D415" s="19">
        <v>4</v>
      </c>
    </row>
    <row r="416" spans="1:4" x14ac:dyDescent="0.45">
      <c r="A416" s="15">
        <v>43374</v>
      </c>
      <c r="B416">
        <v>4002</v>
      </c>
      <c r="C416" t="s">
        <v>53</v>
      </c>
      <c r="D416" s="19">
        <v>702</v>
      </c>
    </row>
    <row r="417" spans="1:4" x14ac:dyDescent="0.45">
      <c r="A417" s="15">
        <v>43374</v>
      </c>
      <c r="B417">
        <v>4003</v>
      </c>
      <c r="C417" t="s">
        <v>54</v>
      </c>
      <c r="D417" s="19">
        <v>931</v>
      </c>
    </row>
    <row r="418" spans="1:4" x14ac:dyDescent="0.45">
      <c r="A418" s="15">
        <v>43374</v>
      </c>
      <c r="B418">
        <v>5001</v>
      </c>
      <c r="C418" t="s">
        <v>57</v>
      </c>
      <c r="D418" s="19">
        <v>7584</v>
      </c>
    </row>
    <row r="419" spans="1:4" x14ac:dyDescent="0.45">
      <c r="A419" s="15">
        <v>43374</v>
      </c>
      <c r="B419">
        <v>5002</v>
      </c>
      <c r="C419" t="s">
        <v>58</v>
      </c>
      <c r="D419" s="19">
        <v>92138</v>
      </c>
    </row>
    <row r="420" spans="1:4" x14ac:dyDescent="0.45">
      <c r="A420" s="15">
        <v>43374</v>
      </c>
      <c r="B420">
        <v>5003</v>
      </c>
      <c r="C420" t="s">
        <v>59</v>
      </c>
      <c r="D420" s="19">
        <v>34545</v>
      </c>
    </row>
    <row r="421" spans="1:4" x14ac:dyDescent="0.45">
      <c r="A421" s="15">
        <v>43374</v>
      </c>
      <c r="B421">
        <v>5004</v>
      </c>
      <c r="C421" t="s">
        <v>60</v>
      </c>
      <c r="D421" s="19">
        <v>28649</v>
      </c>
    </row>
    <row r="422" spans="1:4" x14ac:dyDescent="0.45">
      <c r="A422" s="15">
        <v>43374</v>
      </c>
      <c r="B422">
        <v>5005</v>
      </c>
      <c r="C422" t="s">
        <v>61</v>
      </c>
      <c r="D422" s="19">
        <v>89289</v>
      </c>
    </row>
    <row r="423" spans="1:4" x14ac:dyDescent="0.45">
      <c r="A423" s="15">
        <v>43374</v>
      </c>
      <c r="B423">
        <v>5006</v>
      </c>
      <c r="C423" t="s">
        <v>62</v>
      </c>
      <c r="D423" s="19">
        <v>43746</v>
      </c>
    </row>
    <row r="424" spans="1:4" x14ac:dyDescent="0.45">
      <c r="A424" s="15">
        <v>43374</v>
      </c>
      <c r="B424">
        <v>5007</v>
      </c>
      <c r="C424" t="s">
        <v>63</v>
      </c>
      <c r="D424" s="19">
        <v>79835</v>
      </c>
    </row>
    <row r="425" spans="1:4" x14ac:dyDescent="0.45">
      <c r="A425" s="15">
        <v>43374</v>
      </c>
      <c r="B425">
        <v>5008</v>
      </c>
      <c r="C425" t="s">
        <v>64</v>
      </c>
      <c r="D425" s="19">
        <v>29612</v>
      </c>
    </row>
    <row r="426" spans="1:4" x14ac:dyDescent="0.45">
      <c r="A426" s="15">
        <v>43374</v>
      </c>
      <c r="B426">
        <v>5009</v>
      </c>
      <c r="C426" t="s">
        <v>65</v>
      </c>
      <c r="D426" s="19">
        <v>25265</v>
      </c>
    </row>
    <row r="427" spans="1:4" x14ac:dyDescent="0.45">
      <c r="A427" s="15">
        <v>43374</v>
      </c>
      <c r="B427">
        <v>6002</v>
      </c>
      <c r="C427" t="s">
        <v>68</v>
      </c>
      <c r="D427" s="19">
        <v>332</v>
      </c>
    </row>
    <row r="428" spans="1:4" x14ac:dyDescent="0.45">
      <c r="A428" s="15">
        <v>43374</v>
      </c>
      <c r="B428">
        <v>6003</v>
      </c>
      <c r="C428" t="s">
        <v>69</v>
      </c>
      <c r="D428" s="19">
        <v>136</v>
      </c>
    </row>
    <row r="429" spans="1:4" x14ac:dyDescent="0.45">
      <c r="A429" s="15">
        <v>43374</v>
      </c>
      <c r="B429">
        <v>6004</v>
      </c>
      <c r="C429" t="s">
        <v>70</v>
      </c>
      <c r="D429" s="19">
        <v>165</v>
      </c>
    </row>
    <row r="430" spans="1:4" x14ac:dyDescent="0.45">
      <c r="A430" s="15">
        <v>43374</v>
      </c>
      <c r="B430">
        <v>6005</v>
      </c>
      <c r="C430" t="s">
        <v>71</v>
      </c>
      <c r="D430" s="19">
        <v>248</v>
      </c>
    </row>
    <row r="431" spans="1:4" x14ac:dyDescent="0.45">
      <c r="A431" s="15">
        <v>43374</v>
      </c>
      <c r="B431">
        <v>6006</v>
      </c>
      <c r="C431" t="s">
        <v>72</v>
      </c>
      <c r="D431" s="19">
        <v>828</v>
      </c>
    </row>
    <row r="432" spans="1:4" x14ac:dyDescent="0.45">
      <c r="A432" s="15">
        <v>43405</v>
      </c>
      <c r="B432">
        <v>2001</v>
      </c>
      <c r="C432" t="s">
        <v>22</v>
      </c>
      <c r="D432" s="19">
        <v>272</v>
      </c>
    </row>
    <row r="433" spans="1:4" x14ac:dyDescent="0.45">
      <c r="A433" s="15">
        <v>43405</v>
      </c>
      <c r="B433">
        <v>2002</v>
      </c>
      <c r="C433" t="s">
        <v>23</v>
      </c>
      <c r="D433" s="19">
        <v>957</v>
      </c>
    </row>
    <row r="434" spans="1:4" x14ac:dyDescent="0.45">
      <c r="A434" s="15">
        <v>43405</v>
      </c>
      <c r="B434">
        <v>2003</v>
      </c>
      <c r="C434" t="s">
        <v>24</v>
      </c>
      <c r="D434" s="19">
        <v>215</v>
      </c>
    </row>
    <row r="435" spans="1:4" x14ac:dyDescent="0.45">
      <c r="A435" s="15">
        <v>43405</v>
      </c>
      <c r="B435">
        <v>2004</v>
      </c>
      <c r="C435" t="s">
        <v>25</v>
      </c>
      <c r="D435" s="19">
        <v>140</v>
      </c>
    </row>
    <row r="436" spans="1:4" x14ac:dyDescent="0.45">
      <c r="A436" s="15">
        <v>43405</v>
      </c>
      <c r="B436">
        <v>2005</v>
      </c>
      <c r="C436" t="s">
        <v>26</v>
      </c>
      <c r="D436" s="19">
        <v>887</v>
      </c>
    </row>
    <row r="437" spans="1:4" x14ac:dyDescent="0.45">
      <c r="A437" s="15">
        <v>43405</v>
      </c>
      <c r="B437">
        <v>2006</v>
      </c>
      <c r="C437" t="s">
        <v>27</v>
      </c>
      <c r="D437" s="19">
        <v>373</v>
      </c>
    </row>
    <row r="438" spans="1:4" x14ac:dyDescent="0.45">
      <c r="A438" s="15">
        <v>43405</v>
      </c>
      <c r="B438">
        <v>2007</v>
      </c>
      <c r="C438" t="s">
        <v>28</v>
      </c>
      <c r="D438" s="19">
        <v>131</v>
      </c>
    </row>
    <row r="439" spans="1:4" x14ac:dyDescent="0.45">
      <c r="A439" s="15">
        <v>43405</v>
      </c>
      <c r="B439">
        <v>2008</v>
      </c>
      <c r="C439" t="s">
        <v>29</v>
      </c>
      <c r="D439" s="19">
        <v>589</v>
      </c>
    </row>
    <row r="440" spans="1:4" x14ac:dyDescent="0.45">
      <c r="A440" s="15">
        <v>43405</v>
      </c>
      <c r="B440">
        <v>2009</v>
      </c>
      <c r="C440" t="s">
        <v>30</v>
      </c>
      <c r="D440" s="19">
        <v>262</v>
      </c>
    </row>
    <row r="441" spans="1:4" x14ac:dyDescent="0.45">
      <c r="A441" s="15">
        <v>43405</v>
      </c>
      <c r="B441">
        <v>2010</v>
      </c>
      <c r="C441" t="s">
        <v>31</v>
      </c>
      <c r="D441" s="19">
        <v>767</v>
      </c>
    </row>
    <row r="442" spans="1:4" x14ac:dyDescent="0.45">
      <c r="A442" s="15">
        <v>43405</v>
      </c>
      <c r="B442">
        <v>2011</v>
      </c>
      <c r="C442" t="s">
        <v>32</v>
      </c>
      <c r="D442" s="19">
        <v>411</v>
      </c>
    </row>
    <row r="443" spans="1:4" x14ac:dyDescent="0.45">
      <c r="A443" s="15">
        <v>43405</v>
      </c>
      <c r="B443">
        <v>2012</v>
      </c>
      <c r="C443" t="s">
        <v>33</v>
      </c>
      <c r="D443" s="19">
        <v>899</v>
      </c>
    </row>
    <row r="444" spans="1:4" x14ac:dyDescent="0.45">
      <c r="A444" s="15">
        <v>43405</v>
      </c>
      <c r="B444">
        <v>2013</v>
      </c>
      <c r="C444" t="s">
        <v>34</v>
      </c>
      <c r="D444" s="19">
        <v>527</v>
      </c>
    </row>
    <row r="445" spans="1:4" x14ac:dyDescent="0.45">
      <c r="A445" s="15">
        <v>43405</v>
      </c>
      <c r="B445">
        <v>2014</v>
      </c>
      <c r="C445" t="s">
        <v>35</v>
      </c>
      <c r="D445" s="19">
        <v>632</v>
      </c>
    </row>
    <row r="446" spans="1:4" x14ac:dyDescent="0.45">
      <c r="A446" s="15">
        <v>43405</v>
      </c>
      <c r="B446">
        <v>2015</v>
      </c>
      <c r="C446" t="s">
        <v>36</v>
      </c>
      <c r="D446" s="19">
        <v>834</v>
      </c>
    </row>
    <row r="447" spans="1:4" x14ac:dyDescent="0.45">
      <c r="A447" s="15">
        <v>43405</v>
      </c>
      <c r="B447">
        <v>2016</v>
      </c>
      <c r="C447" t="s">
        <v>37</v>
      </c>
      <c r="D447" s="19">
        <v>766</v>
      </c>
    </row>
    <row r="448" spans="1:4" x14ac:dyDescent="0.45">
      <c r="A448" s="15">
        <v>43405</v>
      </c>
      <c r="B448">
        <v>2017</v>
      </c>
      <c r="C448" t="s">
        <v>38</v>
      </c>
      <c r="D448" s="19">
        <v>415</v>
      </c>
    </row>
    <row r="449" spans="1:4" x14ac:dyDescent="0.45">
      <c r="A449" s="15">
        <v>43405</v>
      </c>
      <c r="B449">
        <v>3001</v>
      </c>
      <c r="C449" t="s">
        <v>41</v>
      </c>
      <c r="D449" s="19">
        <v>356</v>
      </c>
    </row>
    <row r="450" spans="1:4" x14ac:dyDescent="0.45">
      <c r="A450" s="15">
        <v>43405</v>
      </c>
      <c r="B450">
        <v>3002</v>
      </c>
      <c r="C450" t="s">
        <v>42</v>
      </c>
      <c r="D450" s="19">
        <v>808</v>
      </c>
    </row>
    <row r="451" spans="1:4" x14ac:dyDescent="0.45">
      <c r="A451" s="15">
        <v>43405</v>
      </c>
      <c r="B451">
        <v>3003</v>
      </c>
      <c r="C451" t="s">
        <v>43</v>
      </c>
      <c r="D451" s="19">
        <v>583</v>
      </c>
    </row>
    <row r="452" spans="1:4" x14ac:dyDescent="0.45">
      <c r="A452" s="15">
        <v>43405</v>
      </c>
      <c r="B452">
        <v>3004</v>
      </c>
      <c r="C452" t="s">
        <v>44</v>
      </c>
      <c r="D452" s="19">
        <v>430</v>
      </c>
    </row>
    <row r="453" spans="1:4" x14ac:dyDescent="0.45">
      <c r="A453" s="15">
        <v>43405</v>
      </c>
      <c r="B453">
        <v>3005</v>
      </c>
      <c r="C453" t="s">
        <v>45</v>
      </c>
      <c r="D453" s="19">
        <v>563</v>
      </c>
    </row>
    <row r="454" spans="1:4" x14ac:dyDescent="0.45">
      <c r="A454" s="15">
        <v>43405</v>
      </c>
      <c r="B454">
        <v>3006</v>
      </c>
      <c r="C454" t="s">
        <v>46</v>
      </c>
      <c r="D454" s="19">
        <v>770</v>
      </c>
    </row>
    <row r="455" spans="1:4" x14ac:dyDescent="0.45">
      <c r="A455" s="15">
        <v>43405</v>
      </c>
      <c r="B455">
        <v>3007</v>
      </c>
      <c r="C455" t="s">
        <v>47</v>
      </c>
      <c r="D455" s="19">
        <v>319</v>
      </c>
    </row>
    <row r="456" spans="1:4" x14ac:dyDescent="0.45">
      <c r="A456" s="15">
        <v>43405</v>
      </c>
      <c r="B456">
        <v>3008</v>
      </c>
      <c r="C456" t="s">
        <v>48</v>
      </c>
      <c r="D456" s="19">
        <v>515</v>
      </c>
    </row>
    <row r="457" spans="1:4" x14ac:dyDescent="0.45">
      <c r="A457" s="15">
        <v>43405</v>
      </c>
      <c r="B457">
        <v>3009</v>
      </c>
      <c r="C457" t="s">
        <v>49</v>
      </c>
      <c r="D457" s="19">
        <v>686</v>
      </c>
    </row>
    <row r="458" spans="1:4" x14ac:dyDescent="0.45">
      <c r="A458" s="15">
        <v>43405</v>
      </c>
      <c r="B458">
        <v>4001</v>
      </c>
      <c r="C458" t="s">
        <v>52</v>
      </c>
      <c r="D458" s="19">
        <v>863</v>
      </c>
    </row>
    <row r="459" spans="1:4" x14ac:dyDescent="0.45">
      <c r="A459" s="15">
        <v>43405</v>
      </c>
      <c r="B459">
        <v>4002</v>
      </c>
      <c r="C459" t="s">
        <v>53</v>
      </c>
      <c r="D459" s="19">
        <v>104</v>
      </c>
    </row>
    <row r="460" spans="1:4" x14ac:dyDescent="0.45">
      <c r="A460" s="15">
        <v>43405</v>
      </c>
      <c r="B460">
        <v>4003</v>
      </c>
      <c r="C460" t="s">
        <v>54</v>
      </c>
      <c r="D460" s="19">
        <v>327</v>
      </c>
    </row>
    <row r="461" spans="1:4" x14ac:dyDescent="0.45">
      <c r="A461" s="15">
        <v>43405</v>
      </c>
      <c r="B461">
        <v>5001</v>
      </c>
      <c r="C461" t="s">
        <v>57</v>
      </c>
      <c r="D461" s="19">
        <v>96825</v>
      </c>
    </row>
    <row r="462" spans="1:4" x14ac:dyDescent="0.45">
      <c r="A462" s="15">
        <v>43405</v>
      </c>
      <c r="B462">
        <v>5002</v>
      </c>
      <c r="C462" t="s">
        <v>58</v>
      </c>
      <c r="D462" s="19">
        <v>21972</v>
      </c>
    </row>
    <row r="463" spans="1:4" x14ac:dyDescent="0.45">
      <c r="A463" s="15">
        <v>43405</v>
      </c>
      <c r="B463">
        <v>5003</v>
      </c>
      <c r="C463" t="s">
        <v>59</v>
      </c>
      <c r="D463" s="19">
        <v>25882</v>
      </c>
    </row>
    <row r="464" spans="1:4" x14ac:dyDescent="0.45">
      <c r="A464" s="15">
        <v>43405</v>
      </c>
      <c r="B464">
        <v>5004</v>
      </c>
      <c r="C464" t="s">
        <v>60</v>
      </c>
      <c r="D464" s="19">
        <v>12458</v>
      </c>
    </row>
    <row r="465" spans="1:4" x14ac:dyDescent="0.45">
      <c r="A465" s="15">
        <v>43405</v>
      </c>
      <c r="B465">
        <v>5005</v>
      </c>
      <c r="C465" t="s">
        <v>61</v>
      </c>
      <c r="D465" s="19">
        <v>7644</v>
      </c>
    </row>
    <row r="466" spans="1:4" x14ac:dyDescent="0.45">
      <c r="A466" s="15">
        <v>43405</v>
      </c>
      <c r="B466">
        <v>5006</v>
      </c>
      <c r="C466" t="s">
        <v>62</v>
      </c>
      <c r="D466" s="19">
        <v>63606</v>
      </c>
    </row>
    <row r="467" spans="1:4" x14ac:dyDescent="0.45">
      <c r="A467" s="15">
        <v>43405</v>
      </c>
      <c r="B467">
        <v>5007</v>
      </c>
      <c r="C467" t="s">
        <v>63</v>
      </c>
      <c r="D467" s="19">
        <v>61783</v>
      </c>
    </row>
    <row r="468" spans="1:4" x14ac:dyDescent="0.45">
      <c r="A468" s="15">
        <v>43405</v>
      </c>
      <c r="B468">
        <v>5008</v>
      </c>
      <c r="C468" t="s">
        <v>64</v>
      </c>
      <c r="D468" s="19">
        <v>36309</v>
      </c>
    </row>
    <row r="469" spans="1:4" x14ac:dyDescent="0.45">
      <c r="A469" s="15">
        <v>43405</v>
      </c>
      <c r="B469">
        <v>5009</v>
      </c>
      <c r="C469" t="s">
        <v>65</v>
      </c>
      <c r="D469" s="19">
        <v>44480</v>
      </c>
    </row>
    <row r="470" spans="1:4" x14ac:dyDescent="0.45">
      <c r="A470" s="15">
        <v>43405</v>
      </c>
      <c r="B470">
        <v>6002</v>
      </c>
      <c r="C470" t="s">
        <v>68</v>
      </c>
      <c r="D470" s="19">
        <v>313</v>
      </c>
    </row>
    <row r="471" spans="1:4" x14ac:dyDescent="0.45">
      <c r="A471" s="15">
        <v>43405</v>
      </c>
      <c r="B471">
        <v>6003</v>
      </c>
      <c r="C471" t="s">
        <v>69</v>
      </c>
      <c r="D471" s="19">
        <v>704</v>
      </c>
    </row>
    <row r="472" spans="1:4" x14ac:dyDescent="0.45">
      <c r="A472" s="15">
        <v>43405</v>
      </c>
      <c r="B472">
        <v>6004</v>
      </c>
      <c r="C472" t="s">
        <v>70</v>
      </c>
      <c r="D472" s="19">
        <v>465</v>
      </c>
    </row>
    <row r="473" spans="1:4" x14ac:dyDescent="0.45">
      <c r="A473" s="15">
        <v>43405</v>
      </c>
      <c r="B473">
        <v>6005</v>
      </c>
      <c r="C473" t="s">
        <v>71</v>
      </c>
      <c r="D473" s="19">
        <v>963</v>
      </c>
    </row>
    <row r="474" spans="1:4" x14ac:dyDescent="0.45">
      <c r="A474" s="15">
        <v>43405</v>
      </c>
      <c r="B474">
        <v>6006</v>
      </c>
      <c r="C474" t="s">
        <v>72</v>
      </c>
      <c r="D474" s="19">
        <v>565</v>
      </c>
    </row>
    <row r="475" spans="1:4" x14ac:dyDescent="0.45">
      <c r="A475" s="15">
        <v>43435</v>
      </c>
      <c r="B475">
        <v>2001</v>
      </c>
      <c r="C475" t="s">
        <v>22</v>
      </c>
      <c r="D475" s="19">
        <v>352</v>
      </c>
    </row>
    <row r="476" spans="1:4" x14ac:dyDescent="0.45">
      <c r="A476" s="15">
        <v>43435</v>
      </c>
      <c r="B476">
        <v>2002</v>
      </c>
      <c r="C476" t="s">
        <v>23</v>
      </c>
      <c r="D476" s="19">
        <v>454</v>
      </c>
    </row>
    <row r="477" spans="1:4" x14ac:dyDescent="0.45">
      <c r="A477" s="15">
        <v>43435</v>
      </c>
      <c r="B477">
        <v>2003</v>
      </c>
      <c r="C477" t="s">
        <v>24</v>
      </c>
      <c r="D477" s="19">
        <v>263</v>
      </c>
    </row>
    <row r="478" spans="1:4" x14ac:dyDescent="0.45">
      <c r="A478" s="15">
        <v>43435</v>
      </c>
      <c r="B478">
        <v>2004</v>
      </c>
      <c r="C478" t="s">
        <v>25</v>
      </c>
      <c r="D478" s="19">
        <v>190</v>
      </c>
    </row>
    <row r="479" spans="1:4" x14ac:dyDescent="0.45">
      <c r="A479" s="15">
        <v>43435</v>
      </c>
      <c r="B479">
        <v>2005</v>
      </c>
      <c r="C479" t="s">
        <v>26</v>
      </c>
      <c r="D479" s="19">
        <v>274</v>
      </c>
    </row>
    <row r="480" spans="1:4" x14ac:dyDescent="0.45">
      <c r="A480" s="15">
        <v>43435</v>
      </c>
      <c r="B480">
        <v>2006</v>
      </c>
      <c r="C480" t="s">
        <v>27</v>
      </c>
      <c r="D480" s="19">
        <v>444</v>
      </c>
    </row>
    <row r="481" spans="1:4" x14ac:dyDescent="0.45">
      <c r="A481" s="15">
        <v>43435</v>
      </c>
      <c r="B481">
        <v>2007</v>
      </c>
      <c r="C481" t="s">
        <v>28</v>
      </c>
      <c r="D481" s="19">
        <v>268</v>
      </c>
    </row>
    <row r="482" spans="1:4" x14ac:dyDescent="0.45">
      <c r="A482" s="15">
        <v>43435</v>
      </c>
      <c r="B482">
        <v>2008</v>
      </c>
      <c r="C482" t="s">
        <v>29</v>
      </c>
      <c r="D482" s="19">
        <v>407</v>
      </c>
    </row>
    <row r="483" spans="1:4" x14ac:dyDescent="0.45">
      <c r="A483" s="15">
        <v>43435</v>
      </c>
      <c r="B483">
        <v>2009</v>
      </c>
      <c r="C483" t="s">
        <v>30</v>
      </c>
      <c r="D483" s="19">
        <v>732</v>
      </c>
    </row>
    <row r="484" spans="1:4" x14ac:dyDescent="0.45">
      <c r="A484" s="15">
        <v>43435</v>
      </c>
      <c r="B484">
        <v>2010</v>
      </c>
      <c r="C484" t="s">
        <v>31</v>
      </c>
      <c r="D484" s="19">
        <v>429</v>
      </c>
    </row>
    <row r="485" spans="1:4" x14ac:dyDescent="0.45">
      <c r="A485" s="15">
        <v>43435</v>
      </c>
      <c r="B485">
        <v>2011</v>
      </c>
      <c r="C485" t="s">
        <v>32</v>
      </c>
      <c r="D485" s="19">
        <v>867</v>
      </c>
    </row>
    <row r="486" spans="1:4" x14ac:dyDescent="0.45">
      <c r="A486" s="15">
        <v>43435</v>
      </c>
      <c r="B486">
        <v>2012</v>
      </c>
      <c r="C486" t="s">
        <v>33</v>
      </c>
      <c r="D486" s="19">
        <v>217</v>
      </c>
    </row>
    <row r="487" spans="1:4" x14ac:dyDescent="0.45">
      <c r="A487" s="15">
        <v>43435</v>
      </c>
      <c r="B487">
        <v>2013</v>
      </c>
      <c r="C487" t="s">
        <v>34</v>
      </c>
      <c r="D487" s="19">
        <v>601</v>
      </c>
    </row>
    <row r="488" spans="1:4" x14ac:dyDescent="0.45">
      <c r="A488" s="15">
        <v>43435</v>
      </c>
      <c r="B488">
        <v>2014</v>
      </c>
      <c r="C488" t="s">
        <v>35</v>
      </c>
      <c r="D488" s="19">
        <v>848</v>
      </c>
    </row>
    <row r="489" spans="1:4" x14ac:dyDescent="0.45">
      <c r="A489" s="15">
        <v>43435</v>
      </c>
      <c r="B489">
        <v>2015</v>
      </c>
      <c r="C489" t="s">
        <v>36</v>
      </c>
      <c r="D489" s="19">
        <v>31</v>
      </c>
    </row>
    <row r="490" spans="1:4" x14ac:dyDescent="0.45">
      <c r="A490" s="15">
        <v>43435</v>
      </c>
      <c r="B490">
        <v>2016</v>
      </c>
      <c r="C490" t="s">
        <v>37</v>
      </c>
      <c r="D490" s="19">
        <v>464</v>
      </c>
    </row>
    <row r="491" spans="1:4" x14ac:dyDescent="0.45">
      <c r="A491" s="15">
        <v>43435</v>
      </c>
      <c r="B491">
        <v>2017</v>
      </c>
      <c r="C491" t="s">
        <v>38</v>
      </c>
      <c r="D491" s="19">
        <v>789</v>
      </c>
    </row>
    <row r="492" spans="1:4" x14ac:dyDescent="0.45">
      <c r="A492" s="15">
        <v>43435</v>
      </c>
      <c r="B492">
        <v>3001</v>
      </c>
      <c r="C492" t="s">
        <v>41</v>
      </c>
      <c r="D492" s="19">
        <v>631</v>
      </c>
    </row>
    <row r="493" spans="1:4" x14ac:dyDescent="0.45">
      <c r="A493" s="15">
        <v>43435</v>
      </c>
      <c r="B493">
        <v>3002</v>
      </c>
      <c r="C493" t="s">
        <v>42</v>
      </c>
      <c r="D493" s="19">
        <v>22</v>
      </c>
    </row>
    <row r="494" spans="1:4" x14ac:dyDescent="0.45">
      <c r="A494" s="15">
        <v>43435</v>
      </c>
      <c r="B494">
        <v>3003</v>
      </c>
      <c r="C494" t="s">
        <v>43</v>
      </c>
      <c r="D494" s="19">
        <v>618</v>
      </c>
    </row>
    <row r="495" spans="1:4" x14ac:dyDescent="0.45">
      <c r="A495" s="15">
        <v>43435</v>
      </c>
      <c r="B495">
        <v>3004</v>
      </c>
      <c r="C495" t="s">
        <v>44</v>
      </c>
      <c r="D495" s="19">
        <v>508</v>
      </c>
    </row>
    <row r="496" spans="1:4" x14ac:dyDescent="0.45">
      <c r="A496" s="15">
        <v>43435</v>
      </c>
      <c r="B496">
        <v>3005</v>
      </c>
      <c r="C496" t="s">
        <v>45</v>
      </c>
      <c r="D496" s="19">
        <v>330</v>
      </c>
    </row>
    <row r="497" spans="1:4" x14ac:dyDescent="0.45">
      <c r="A497" s="15">
        <v>43435</v>
      </c>
      <c r="B497">
        <v>3006</v>
      </c>
      <c r="C497" t="s">
        <v>46</v>
      </c>
      <c r="D497" s="19">
        <v>543</v>
      </c>
    </row>
    <row r="498" spans="1:4" x14ac:dyDescent="0.45">
      <c r="A498" s="15">
        <v>43435</v>
      </c>
      <c r="B498">
        <v>3007</v>
      </c>
      <c r="C498" t="s">
        <v>47</v>
      </c>
      <c r="D498" s="19">
        <v>22</v>
      </c>
    </row>
    <row r="499" spans="1:4" x14ac:dyDescent="0.45">
      <c r="A499" s="15">
        <v>43435</v>
      </c>
      <c r="B499">
        <v>3008</v>
      </c>
      <c r="C499" t="s">
        <v>48</v>
      </c>
      <c r="D499" s="19">
        <v>434</v>
      </c>
    </row>
    <row r="500" spans="1:4" x14ac:dyDescent="0.45">
      <c r="A500" s="15">
        <v>43435</v>
      </c>
      <c r="B500">
        <v>3009</v>
      </c>
      <c r="C500" t="s">
        <v>49</v>
      </c>
      <c r="D500" s="19">
        <v>959</v>
      </c>
    </row>
    <row r="501" spans="1:4" x14ac:dyDescent="0.45">
      <c r="A501" s="15">
        <v>43435</v>
      </c>
      <c r="B501">
        <v>4001</v>
      </c>
      <c r="C501" t="s">
        <v>52</v>
      </c>
      <c r="D501" s="19">
        <v>553</v>
      </c>
    </row>
    <row r="502" spans="1:4" x14ac:dyDescent="0.45">
      <c r="A502" s="15">
        <v>43435</v>
      </c>
      <c r="B502">
        <v>4002</v>
      </c>
      <c r="C502" t="s">
        <v>53</v>
      </c>
      <c r="D502" s="19">
        <v>21</v>
      </c>
    </row>
    <row r="503" spans="1:4" x14ac:dyDescent="0.45">
      <c r="A503" s="15">
        <v>43435</v>
      </c>
      <c r="B503">
        <v>4003</v>
      </c>
      <c r="C503" t="s">
        <v>54</v>
      </c>
      <c r="D503" s="19">
        <v>356</v>
      </c>
    </row>
    <row r="504" spans="1:4" x14ac:dyDescent="0.45">
      <c r="A504" s="15">
        <v>43435</v>
      </c>
      <c r="B504">
        <v>5001</v>
      </c>
      <c r="C504" t="s">
        <v>57</v>
      </c>
      <c r="D504" s="19">
        <v>85994</v>
      </c>
    </row>
    <row r="505" spans="1:4" x14ac:dyDescent="0.45">
      <c r="A505" s="15">
        <v>43435</v>
      </c>
      <c r="B505">
        <v>5002</v>
      </c>
      <c r="C505" t="s">
        <v>58</v>
      </c>
      <c r="D505" s="19">
        <v>99375</v>
      </c>
    </row>
    <row r="506" spans="1:4" x14ac:dyDescent="0.45">
      <c r="A506" s="15">
        <v>43435</v>
      </c>
      <c r="B506">
        <v>5003</v>
      </c>
      <c r="C506" t="s">
        <v>59</v>
      </c>
      <c r="D506" s="19">
        <v>21123</v>
      </c>
    </row>
    <row r="507" spans="1:4" x14ac:dyDescent="0.45">
      <c r="A507" s="15">
        <v>43435</v>
      </c>
      <c r="B507">
        <v>5004</v>
      </c>
      <c r="C507" t="s">
        <v>60</v>
      </c>
      <c r="D507" s="19">
        <v>7726</v>
      </c>
    </row>
    <row r="508" spans="1:4" x14ac:dyDescent="0.45">
      <c r="A508" s="15">
        <v>43435</v>
      </c>
      <c r="B508">
        <v>5005</v>
      </c>
      <c r="C508" t="s">
        <v>61</v>
      </c>
      <c r="D508" s="19">
        <v>5664</v>
      </c>
    </row>
    <row r="509" spans="1:4" x14ac:dyDescent="0.45">
      <c r="A509" s="15">
        <v>43435</v>
      </c>
      <c r="B509">
        <v>5006</v>
      </c>
      <c r="C509" t="s">
        <v>62</v>
      </c>
      <c r="D509" s="19">
        <v>23603</v>
      </c>
    </row>
    <row r="510" spans="1:4" x14ac:dyDescent="0.45">
      <c r="A510" s="15">
        <v>43435</v>
      </c>
      <c r="B510">
        <v>5007</v>
      </c>
      <c r="C510" t="s">
        <v>63</v>
      </c>
      <c r="D510" s="19">
        <v>86621</v>
      </c>
    </row>
    <row r="511" spans="1:4" x14ac:dyDescent="0.45">
      <c r="A511" s="15">
        <v>43435</v>
      </c>
      <c r="B511">
        <v>5008</v>
      </c>
      <c r="C511" t="s">
        <v>64</v>
      </c>
      <c r="D511" s="19">
        <v>78350</v>
      </c>
    </row>
    <row r="512" spans="1:4" x14ac:dyDescent="0.45">
      <c r="A512" s="15">
        <v>43435</v>
      </c>
      <c r="B512">
        <v>5009</v>
      </c>
      <c r="C512" t="s">
        <v>65</v>
      </c>
      <c r="D512" s="19">
        <v>72023</v>
      </c>
    </row>
    <row r="513" spans="1:4" x14ac:dyDescent="0.45">
      <c r="A513" s="15">
        <v>43435</v>
      </c>
      <c r="B513">
        <v>6002</v>
      </c>
      <c r="C513" t="s">
        <v>68</v>
      </c>
      <c r="D513" s="19">
        <v>677</v>
      </c>
    </row>
    <row r="514" spans="1:4" x14ac:dyDescent="0.45">
      <c r="A514" s="15">
        <v>43435</v>
      </c>
      <c r="B514">
        <v>6003</v>
      </c>
      <c r="C514" t="s">
        <v>69</v>
      </c>
      <c r="D514" s="19">
        <v>565</v>
      </c>
    </row>
    <row r="515" spans="1:4" x14ac:dyDescent="0.45">
      <c r="A515" s="15">
        <v>43435</v>
      </c>
      <c r="B515">
        <v>6004</v>
      </c>
      <c r="C515" t="s">
        <v>70</v>
      </c>
      <c r="D515" s="19">
        <v>439</v>
      </c>
    </row>
    <row r="516" spans="1:4" x14ac:dyDescent="0.45">
      <c r="A516" s="15">
        <v>43435</v>
      </c>
      <c r="B516">
        <v>6005</v>
      </c>
      <c r="C516" t="s">
        <v>71</v>
      </c>
      <c r="D516" s="19">
        <v>878</v>
      </c>
    </row>
    <row r="517" spans="1:4" x14ac:dyDescent="0.45">
      <c r="A517" s="15">
        <v>43435</v>
      </c>
      <c r="B517">
        <v>6006</v>
      </c>
      <c r="C517" t="s">
        <v>72</v>
      </c>
      <c r="D517" s="19">
        <v>752</v>
      </c>
    </row>
  </sheetData>
  <pageMargins left="0.7" right="0.7" top="0.75" bottom="0.75" header="0.3" footer="0.3"/>
  <tableParts count="1">
    <tablePart r:id="rId1"/>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A7AEC2A-171D-49C7-9F11-DCFEBC2FE9AA}">
  <sheetPr codeName="Sheet4">
    <tabColor rgb="FF0070C0"/>
  </sheetPr>
  <dimension ref="A1:Q439"/>
  <sheetViews>
    <sheetView showGridLines="0" zoomScale="90" zoomScaleNormal="90" workbookViewId="0">
      <pane ySplit="1" topLeftCell="A2" activePane="bottomLeft" state="frozen"/>
      <selection pane="bottomLeft"/>
    </sheetView>
  </sheetViews>
  <sheetFormatPr defaultRowHeight="14.25" x14ac:dyDescent="0.45"/>
  <cols>
    <col min="1" max="1" width="10.59765625" customWidth="1"/>
    <col min="2" max="4" width="12.86328125" customWidth="1"/>
    <col min="5" max="5" width="17" bestFit="1" customWidth="1"/>
    <col min="6" max="6" width="9.265625" customWidth="1"/>
    <col min="7" max="7" width="17.3984375" customWidth="1"/>
    <col min="8" max="8" width="21.86328125" bestFit="1" customWidth="1"/>
    <col min="9" max="9" width="18.59765625" bestFit="1" customWidth="1"/>
    <col min="10" max="10" width="15" customWidth="1"/>
    <col min="11" max="11" width="15.73046875" customWidth="1"/>
    <col min="12" max="12" width="21.59765625" bestFit="1" customWidth="1"/>
    <col min="13" max="13" width="14.265625" bestFit="1" customWidth="1"/>
    <col min="14" max="14" width="12.59765625" bestFit="1" customWidth="1"/>
    <col min="15" max="15" width="16.265625" customWidth="1"/>
  </cols>
  <sheetData>
    <row r="1" spans="1:17" x14ac:dyDescent="0.45">
      <c r="A1" t="s">
        <v>82</v>
      </c>
      <c r="B1" t="s">
        <v>207</v>
      </c>
      <c r="C1" t="s">
        <v>213</v>
      </c>
      <c r="D1" t="s">
        <v>208</v>
      </c>
      <c r="E1" t="s">
        <v>83</v>
      </c>
      <c r="F1" t="s">
        <v>84</v>
      </c>
      <c r="G1" t="s">
        <v>85</v>
      </c>
      <c r="H1" t="s">
        <v>75</v>
      </c>
      <c r="I1" t="s">
        <v>86</v>
      </c>
      <c r="J1" t="s">
        <v>87</v>
      </c>
      <c r="K1" t="s">
        <v>76</v>
      </c>
      <c r="L1" t="s">
        <v>88</v>
      </c>
      <c r="M1" t="s">
        <v>89</v>
      </c>
      <c r="N1" t="s">
        <v>90</v>
      </c>
      <c r="O1" t="s">
        <v>91</v>
      </c>
      <c r="Q1">
        <v>1.87</v>
      </c>
    </row>
    <row r="2" spans="1:17" x14ac:dyDescent="0.45">
      <c r="A2">
        <f t="shared" ref="A2:A65" si="0">ROW()-1</f>
        <v>1</v>
      </c>
      <c r="B2" s="14">
        <v>43104</v>
      </c>
      <c r="C2" s="14">
        <f>EOMONTH(tbl_GLSalesDetail[[#This Row],[Date]],-1)+1</f>
        <v>43101</v>
      </c>
      <c r="D2" s="17">
        <v>1001</v>
      </c>
      <c r="E2" t="s">
        <v>92</v>
      </c>
      <c r="F2" t="s">
        <v>93</v>
      </c>
      <c r="G2" t="s">
        <v>94</v>
      </c>
      <c r="H2" t="s">
        <v>95</v>
      </c>
      <c r="I2" t="s">
        <v>96</v>
      </c>
      <c r="J2" s="18">
        <v>14880.525000000001</v>
      </c>
      <c r="K2" t="s">
        <v>97</v>
      </c>
      <c r="L2" t="s">
        <v>98</v>
      </c>
      <c r="M2" t="s">
        <v>99</v>
      </c>
      <c r="N2" t="s">
        <v>100</v>
      </c>
      <c r="O2" t="s">
        <v>101</v>
      </c>
    </row>
    <row r="3" spans="1:17" x14ac:dyDescent="0.45">
      <c r="A3">
        <f t="shared" si="0"/>
        <v>2</v>
      </c>
      <c r="B3" s="14">
        <v>43106</v>
      </c>
      <c r="C3" s="14">
        <f>EOMONTH(tbl_GLSalesDetail[[#This Row],[Date]],-1)+1</f>
        <v>43101</v>
      </c>
      <c r="D3" s="17">
        <v>1001</v>
      </c>
      <c r="E3" t="s">
        <v>105</v>
      </c>
      <c r="F3" t="s">
        <v>106</v>
      </c>
      <c r="G3" t="s">
        <v>107</v>
      </c>
      <c r="H3" t="s">
        <v>102</v>
      </c>
      <c r="I3" t="s">
        <v>103</v>
      </c>
      <c r="J3" s="18">
        <v>37544.925000000003</v>
      </c>
      <c r="K3" t="s">
        <v>97</v>
      </c>
      <c r="L3" t="s">
        <v>110</v>
      </c>
      <c r="M3" t="s">
        <v>111</v>
      </c>
      <c r="N3" t="s">
        <v>112</v>
      </c>
      <c r="O3" t="s">
        <v>113</v>
      </c>
    </row>
    <row r="4" spans="1:17" x14ac:dyDescent="0.45">
      <c r="A4">
        <f t="shared" si="0"/>
        <v>3</v>
      </c>
      <c r="B4" s="14">
        <v>43106</v>
      </c>
      <c r="C4" s="14">
        <f>EOMONTH(tbl_GLSalesDetail[[#This Row],[Date]],-1)+1</f>
        <v>43101</v>
      </c>
      <c r="D4" s="17">
        <v>1001</v>
      </c>
      <c r="E4" t="s">
        <v>105</v>
      </c>
      <c r="F4" t="s">
        <v>106</v>
      </c>
      <c r="G4" t="s">
        <v>107</v>
      </c>
      <c r="H4" t="s">
        <v>114</v>
      </c>
      <c r="I4" t="s">
        <v>115</v>
      </c>
      <c r="J4" s="18">
        <v>41434.525000000001</v>
      </c>
      <c r="K4" t="s">
        <v>97</v>
      </c>
      <c r="L4" t="s">
        <v>110</v>
      </c>
      <c r="M4" t="s">
        <v>111</v>
      </c>
      <c r="N4" t="s">
        <v>112</v>
      </c>
      <c r="O4" t="s">
        <v>113</v>
      </c>
    </row>
    <row r="5" spans="1:17" x14ac:dyDescent="0.45">
      <c r="A5">
        <f t="shared" si="0"/>
        <v>4</v>
      </c>
      <c r="B5" s="14">
        <v>43106</v>
      </c>
      <c r="C5" s="14">
        <f>EOMONTH(tbl_GLSalesDetail[[#This Row],[Date]],-1)+1</f>
        <v>43101</v>
      </c>
      <c r="D5" s="17">
        <v>1002</v>
      </c>
      <c r="E5" t="s">
        <v>92</v>
      </c>
      <c r="F5" t="s">
        <v>93</v>
      </c>
      <c r="G5" t="s">
        <v>94</v>
      </c>
      <c r="H5" t="s">
        <v>102</v>
      </c>
      <c r="I5" t="s">
        <v>103</v>
      </c>
      <c r="J5" s="18">
        <v>32271.525000000001</v>
      </c>
      <c r="K5" t="s">
        <v>104</v>
      </c>
      <c r="L5" t="s">
        <v>98</v>
      </c>
      <c r="M5" t="s">
        <v>99</v>
      </c>
      <c r="N5" t="s">
        <v>100</v>
      </c>
      <c r="O5" t="s">
        <v>101</v>
      </c>
    </row>
    <row r="6" spans="1:17" x14ac:dyDescent="0.45">
      <c r="A6">
        <f t="shared" si="0"/>
        <v>5</v>
      </c>
      <c r="B6" s="14">
        <v>43106</v>
      </c>
      <c r="C6" s="14">
        <f>EOMONTH(tbl_GLSalesDetail[[#This Row],[Date]],-1)+1</f>
        <v>43101</v>
      </c>
      <c r="D6" s="17">
        <v>1002</v>
      </c>
      <c r="E6" t="s">
        <v>105</v>
      </c>
      <c r="F6" t="s">
        <v>106</v>
      </c>
      <c r="G6" t="s">
        <v>107</v>
      </c>
      <c r="H6" t="s">
        <v>108</v>
      </c>
      <c r="I6" t="s">
        <v>109</v>
      </c>
      <c r="J6" s="18">
        <v>2767.6000000000004</v>
      </c>
      <c r="K6" t="s">
        <v>104</v>
      </c>
      <c r="L6" t="s">
        <v>110</v>
      </c>
      <c r="M6" t="s">
        <v>111</v>
      </c>
      <c r="N6" t="s">
        <v>112</v>
      </c>
      <c r="O6" t="s">
        <v>113</v>
      </c>
    </row>
    <row r="7" spans="1:17" x14ac:dyDescent="0.45">
      <c r="A7">
        <f t="shared" si="0"/>
        <v>6</v>
      </c>
      <c r="B7" s="14">
        <v>43107</v>
      </c>
      <c r="C7" s="14">
        <f>EOMONTH(tbl_GLSalesDetail[[#This Row],[Date]],-1)+1</f>
        <v>43101</v>
      </c>
      <c r="D7" s="17">
        <v>1001</v>
      </c>
      <c r="E7" t="s">
        <v>116</v>
      </c>
      <c r="F7" t="s">
        <v>117</v>
      </c>
      <c r="G7" t="s">
        <v>118</v>
      </c>
      <c r="H7" t="s">
        <v>119</v>
      </c>
      <c r="I7" t="s">
        <v>120</v>
      </c>
      <c r="J7" s="18">
        <v>8447.7250000000004</v>
      </c>
      <c r="K7" t="s">
        <v>97</v>
      </c>
      <c r="L7" t="s">
        <v>121</v>
      </c>
      <c r="M7" t="s">
        <v>122</v>
      </c>
      <c r="N7" t="s">
        <v>123</v>
      </c>
      <c r="O7" t="s">
        <v>124</v>
      </c>
    </row>
    <row r="8" spans="1:17" x14ac:dyDescent="0.45">
      <c r="A8">
        <f t="shared" si="0"/>
        <v>7</v>
      </c>
      <c r="B8" s="14">
        <v>43111</v>
      </c>
      <c r="C8" s="14">
        <f>EOMONTH(tbl_GLSalesDetail[[#This Row],[Date]],-1)+1</f>
        <v>43101</v>
      </c>
      <c r="D8" s="17">
        <v>1001</v>
      </c>
      <c r="E8" t="s">
        <v>116</v>
      </c>
      <c r="F8" t="s">
        <v>117</v>
      </c>
      <c r="G8" t="s">
        <v>118</v>
      </c>
      <c r="H8" t="s">
        <v>102</v>
      </c>
      <c r="I8" t="s">
        <v>103</v>
      </c>
      <c r="J8" s="18">
        <v>42977.275000000001</v>
      </c>
      <c r="K8" t="s">
        <v>97</v>
      </c>
      <c r="L8" t="s">
        <v>121</v>
      </c>
      <c r="M8" t="s">
        <v>122</v>
      </c>
      <c r="N8" t="s">
        <v>123</v>
      </c>
      <c r="O8" t="s">
        <v>124</v>
      </c>
    </row>
    <row r="9" spans="1:17" x14ac:dyDescent="0.45">
      <c r="A9">
        <f t="shared" si="0"/>
        <v>8</v>
      </c>
      <c r="B9" s="14">
        <v>43112</v>
      </c>
      <c r="C9" s="14">
        <f>EOMONTH(tbl_GLSalesDetail[[#This Row],[Date]],-1)+1</f>
        <v>43101</v>
      </c>
      <c r="D9" s="17">
        <v>1001</v>
      </c>
      <c r="E9" t="s">
        <v>125</v>
      </c>
      <c r="F9" t="s">
        <v>93</v>
      </c>
      <c r="G9" t="s">
        <v>126</v>
      </c>
      <c r="H9" t="s">
        <v>127</v>
      </c>
      <c r="I9" t="s">
        <v>128</v>
      </c>
      <c r="J9" s="18">
        <v>1762.4750000000001</v>
      </c>
      <c r="K9" t="s">
        <v>97</v>
      </c>
      <c r="L9" t="s">
        <v>129</v>
      </c>
      <c r="M9" t="s">
        <v>130</v>
      </c>
      <c r="N9" t="s">
        <v>131</v>
      </c>
      <c r="O9" t="s">
        <v>132</v>
      </c>
    </row>
    <row r="10" spans="1:17" x14ac:dyDescent="0.45">
      <c r="A10">
        <f t="shared" si="0"/>
        <v>9</v>
      </c>
      <c r="B10" s="14">
        <v>43112</v>
      </c>
      <c r="C10" s="14">
        <f>EOMONTH(tbl_GLSalesDetail[[#This Row],[Date]],-1)+1</f>
        <v>43101</v>
      </c>
      <c r="D10" s="17">
        <v>1001</v>
      </c>
      <c r="E10" t="s">
        <v>125</v>
      </c>
      <c r="F10" t="s">
        <v>93</v>
      </c>
      <c r="G10" t="s">
        <v>126</v>
      </c>
      <c r="H10" t="s">
        <v>134</v>
      </c>
      <c r="I10" t="s">
        <v>135</v>
      </c>
      <c r="J10" s="18">
        <v>2314.125</v>
      </c>
      <c r="K10" t="s">
        <v>97</v>
      </c>
      <c r="L10" t="s">
        <v>129</v>
      </c>
      <c r="M10" t="s">
        <v>130</v>
      </c>
      <c r="N10" t="s">
        <v>131</v>
      </c>
      <c r="O10" t="s">
        <v>132</v>
      </c>
    </row>
    <row r="11" spans="1:17" x14ac:dyDescent="0.45">
      <c r="A11">
        <f t="shared" si="0"/>
        <v>10</v>
      </c>
      <c r="B11" s="14">
        <v>43112</v>
      </c>
      <c r="C11" s="14">
        <f>EOMONTH(tbl_GLSalesDetail[[#This Row],[Date]],-1)+1</f>
        <v>43101</v>
      </c>
      <c r="D11" s="17">
        <v>1002</v>
      </c>
      <c r="E11" t="s">
        <v>125</v>
      </c>
      <c r="F11" t="s">
        <v>93</v>
      </c>
      <c r="G11" t="s">
        <v>126</v>
      </c>
      <c r="H11" t="s">
        <v>119</v>
      </c>
      <c r="I11" t="s">
        <v>133</v>
      </c>
      <c r="J11" s="18">
        <v>5904.5250000000005</v>
      </c>
      <c r="K11" t="s">
        <v>104</v>
      </c>
      <c r="L11" t="s">
        <v>129</v>
      </c>
      <c r="M11" t="s">
        <v>130</v>
      </c>
      <c r="N11" t="s">
        <v>131</v>
      </c>
      <c r="O11" t="s">
        <v>132</v>
      </c>
    </row>
    <row r="12" spans="1:17" x14ac:dyDescent="0.45">
      <c r="A12">
        <f t="shared" si="0"/>
        <v>11</v>
      </c>
      <c r="B12" s="14">
        <v>43115</v>
      </c>
      <c r="C12" s="14">
        <f>EOMONTH(tbl_GLSalesDetail[[#This Row],[Date]],-1)+1</f>
        <v>43101</v>
      </c>
      <c r="D12" s="17">
        <v>1001</v>
      </c>
      <c r="E12" t="s">
        <v>136</v>
      </c>
      <c r="F12" t="s">
        <v>106</v>
      </c>
      <c r="G12" t="s">
        <v>137</v>
      </c>
      <c r="H12" t="s">
        <v>142</v>
      </c>
      <c r="I12" t="s">
        <v>143</v>
      </c>
      <c r="J12" s="18">
        <v>23192.675000000003</v>
      </c>
      <c r="K12" t="s">
        <v>145</v>
      </c>
      <c r="L12" t="s">
        <v>138</v>
      </c>
      <c r="M12" t="s">
        <v>139</v>
      </c>
      <c r="N12" t="s">
        <v>140</v>
      </c>
      <c r="O12" t="s">
        <v>141</v>
      </c>
    </row>
    <row r="13" spans="1:17" x14ac:dyDescent="0.45">
      <c r="A13">
        <f t="shared" si="0"/>
        <v>12</v>
      </c>
      <c r="B13" s="14">
        <v>43115</v>
      </c>
      <c r="C13" s="14">
        <f>EOMONTH(tbl_GLSalesDetail[[#This Row],[Date]],-1)+1</f>
        <v>43101</v>
      </c>
      <c r="D13" s="17">
        <v>1001</v>
      </c>
      <c r="E13" t="s">
        <v>136</v>
      </c>
      <c r="F13" t="s">
        <v>106</v>
      </c>
      <c r="G13" t="s">
        <v>137</v>
      </c>
      <c r="H13" t="s">
        <v>142</v>
      </c>
      <c r="I13" t="s">
        <v>143</v>
      </c>
      <c r="J13" s="18">
        <v>22584.925000000003</v>
      </c>
      <c r="K13" t="s">
        <v>97</v>
      </c>
      <c r="L13" t="s">
        <v>138</v>
      </c>
      <c r="M13" t="s">
        <v>139</v>
      </c>
      <c r="N13" t="s">
        <v>140</v>
      </c>
      <c r="O13" t="s">
        <v>141</v>
      </c>
    </row>
    <row r="14" spans="1:17" x14ac:dyDescent="0.45">
      <c r="A14">
        <f t="shared" si="0"/>
        <v>13</v>
      </c>
      <c r="B14" s="14">
        <v>43115</v>
      </c>
      <c r="C14" s="14">
        <f>EOMONTH(tbl_GLSalesDetail[[#This Row],[Date]],-1)+1</f>
        <v>43101</v>
      </c>
      <c r="D14" s="17">
        <v>1001</v>
      </c>
      <c r="E14" t="s">
        <v>116</v>
      </c>
      <c r="F14" t="s">
        <v>117</v>
      </c>
      <c r="G14" t="s">
        <v>118</v>
      </c>
      <c r="H14" t="s">
        <v>102</v>
      </c>
      <c r="I14" t="s">
        <v>144</v>
      </c>
      <c r="J14" s="18">
        <v>31991.025000000001</v>
      </c>
      <c r="K14" t="s">
        <v>97</v>
      </c>
      <c r="L14" t="s">
        <v>121</v>
      </c>
      <c r="M14" t="s">
        <v>122</v>
      </c>
      <c r="N14" t="s">
        <v>123</v>
      </c>
      <c r="O14" t="s">
        <v>124</v>
      </c>
    </row>
    <row r="15" spans="1:17" x14ac:dyDescent="0.45">
      <c r="A15">
        <f t="shared" si="0"/>
        <v>14</v>
      </c>
      <c r="B15" s="14">
        <v>43115</v>
      </c>
      <c r="C15" s="14">
        <f>EOMONTH(tbl_GLSalesDetail[[#This Row],[Date]],-1)+1</f>
        <v>43101</v>
      </c>
      <c r="D15" s="17">
        <v>1001</v>
      </c>
      <c r="E15" t="s">
        <v>136</v>
      </c>
      <c r="F15" t="s">
        <v>106</v>
      </c>
      <c r="G15" t="s">
        <v>137</v>
      </c>
      <c r="H15" t="s">
        <v>102</v>
      </c>
      <c r="I15" t="s">
        <v>103</v>
      </c>
      <c r="J15" s="18">
        <v>23917.300000000003</v>
      </c>
      <c r="K15" t="s">
        <v>97</v>
      </c>
      <c r="L15" t="s">
        <v>138</v>
      </c>
      <c r="M15" t="s">
        <v>139</v>
      </c>
      <c r="N15" t="s">
        <v>140</v>
      </c>
      <c r="O15" t="s">
        <v>141</v>
      </c>
    </row>
    <row r="16" spans="1:17" x14ac:dyDescent="0.45">
      <c r="A16">
        <f t="shared" si="0"/>
        <v>15</v>
      </c>
      <c r="B16" s="14">
        <v>43115</v>
      </c>
      <c r="C16" s="14">
        <f>EOMONTH(tbl_GLSalesDetail[[#This Row],[Date]],-1)+1</f>
        <v>43101</v>
      </c>
      <c r="D16" s="17">
        <v>1002</v>
      </c>
      <c r="E16" t="s">
        <v>136</v>
      </c>
      <c r="F16" t="s">
        <v>106</v>
      </c>
      <c r="G16" t="s">
        <v>137</v>
      </c>
      <c r="H16" t="s">
        <v>102</v>
      </c>
      <c r="I16" t="s">
        <v>103</v>
      </c>
      <c r="J16" s="18">
        <v>12585.1</v>
      </c>
      <c r="K16" t="s">
        <v>104</v>
      </c>
      <c r="L16" t="s">
        <v>138</v>
      </c>
      <c r="M16" t="s">
        <v>139</v>
      </c>
      <c r="N16" t="s">
        <v>140</v>
      </c>
      <c r="O16" t="s">
        <v>141</v>
      </c>
    </row>
    <row r="17" spans="1:15" x14ac:dyDescent="0.45">
      <c r="A17">
        <f t="shared" si="0"/>
        <v>16</v>
      </c>
      <c r="B17" s="14">
        <v>43115</v>
      </c>
      <c r="C17" s="14">
        <f>EOMONTH(tbl_GLSalesDetail[[#This Row],[Date]],-1)+1</f>
        <v>43101</v>
      </c>
      <c r="D17" s="17">
        <v>1002</v>
      </c>
      <c r="E17" t="s">
        <v>136</v>
      </c>
      <c r="F17" t="s">
        <v>106</v>
      </c>
      <c r="G17" t="s">
        <v>137</v>
      </c>
      <c r="H17" t="s">
        <v>142</v>
      </c>
      <c r="I17" t="s">
        <v>143</v>
      </c>
      <c r="J17" s="18">
        <v>20383</v>
      </c>
      <c r="K17" t="s">
        <v>104</v>
      </c>
      <c r="L17" t="s">
        <v>138</v>
      </c>
      <c r="M17" t="s">
        <v>139</v>
      </c>
      <c r="N17" t="s">
        <v>140</v>
      </c>
      <c r="O17" t="s">
        <v>141</v>
      </c>
    </row>
    <row r="18" spans="1:15" x14ac:dyDescent="0.45">
      <c r="A18">
        <f t="shared" si="0"/>
        <v>17</v>
      </c>
      <c r="B18" s="14">
        <v>43115</v>
      </c>
      <c r="C18" s="14">
        <f>EOMONTH(tbl_GLSalesDetail[[#This Row],[Date]],-1)+1</f>
        <v>43101</v>
      </c>
      <c r="D18" s="17">
        <v>1002</v>
      </c>
      <c r="E18" t="s">
        <v>136</v>
      </c>
      <c r="F18" t="s">
        <v>106</v>
      </c>
      <c r="G18" t="s">
        <v>137</v>
      </c>
      <c r="H18" t="s">
        <v>102</v>
      </c>
      <c r="I18" t="s">
        <v>103</v>
      </c>
      <c r="J18" s="18">
        <v>39896.450000000004</v>
      </c>
      <c r="K18" t="s">
        <v>104</v>
      </c>
      <c r="L18" t="s">
        <v>138</v>
      </c>
      <c r="M18" t="s">
        <v>139</v>
      </c>
      <c r="N18" t="s">
        <v>140</v>
      </c>
      <c r="O18" t="s">
        <v>141</v>
      </c>
    </row>
    <row r="19" spans="1:15" x14ac:dyDescent="0.45">
      <c r="A19">
        <f t="shared" si="0"/>
        <v>18</v>
      </c>
      <c r="B19" s="14">
        <v>43115</v>
      </c>
      <c r="C19" s="14">
        <f>EOMONTH(tbl_GLSalesDetail[[#This Row],[Date]],-1)+1</f>
        <v>43101</v>
      </c>
      <c r="D19" s="17">
        <v>1002</v>
      </c>
      <c r="E19" t="s">
        <v>92</v>
      </c>
      <c r="F19" t="s">
        <v>93</v>
      </c>
      <c r="G19" t="s">
        <v>94</v>
      </c>
      <c r="H19" t="s">
        <v>127</v>
      </c>
      <c r="I19" t="s">
        <v>128</v>
      </c>
      <c r="J19" s="18">
        <v>28101.425000000003</v>
      </c>
      <c r="K19" t="s">
        <v>104</v>
      </c>
      <c r="L19" t="s">
        <v>98</v>
      </c>
      <c r="M19" t="s">
        <v>99</v>
      </c>
      <c r="N19" t="s">
        <v>100</v>
      </c>
      <c r="O19" t="s">
        <v>101</v>
      </c>
    </row>
    <row r="20" spans="1:15" x14ac:dyDescent="0.45">
      <c r="A20">
        <f t="shared" si="0"/>
        <v>19</v>
      </c>
      <c r="B20" s="14">
        <v>43120</v>
      </c>
      <c r="C20" s="14">
        <f>EOMONTH(tbl_GLSalesDetail[[#This Row],[Date]],-1)+1</f>
        <v>43101</v>
      </c>
      <c r="D20" s="17">
        <v>1001</v>
      </c>
      <c r="E20" t="s">
        <v>146</v>
      </c>
      <c r="F20" t="s">
        <v>147</v>
      </c>
      <c r="G20" t="s">
        <v>148</v>
      </c>
      <c r="H20" t="s">
        <v>142</v>
      </c>
      <c r="I20" t="s">
        <v>149</v>
      </c>
      <c r="J20" s="18">
        <v>31336.525000000001</v>
      </c>
      <c r="K20" t="s">
        <v>145</v>
      </c>
      <c r="L20" t="s">
        <v>150</v>
      </c>
      <c r="M20" t="s">
        <v>151</v>
      </c>
      <c r="N20" t="s">
        <v>152</v>
      </c>
      <c r="O20" t="s">
        <v>153</v>
      </c>
    </row>
    <row r="21" spans="1:15" x14ac:dyDescent="0.45">
      <c r="A21">
        <f t="shared" si="0"/>
        <v>20</v>
      </c>
      <c r="B21" s="14">
        <v>43120</v>
      </c>
      <c r="C21" s="14">
        <f>EOMONTH(tbl_GLSalesDetail[[#This Row],[Date]],-1)+1</f>
        <v>43101</v>
      </c>
      <c r="D21" s="17">
        <v>1001</v>
      </c>
      <c r="E21" t="s">
        <v>146</v>
      </c>
      <c r="F21" t="s">
        <v>147</v>
      </c>
      <c r="G21" t="s">
        <v>148</v>
      </c>
      <c r="H21" t="s">
        <v>142</v>
      </c>
      <c r="I21" t="s">
        <v>154</v>
      </c>
      <c r="J21" s="18">
        <v>29214.075000000001</v>
      </c>
      <c r="K21" t="s">
        <v>145</v>
      </c>
      <c r="L21" t="s">
        <v>150</v>
      </c>
      <c r="M21" t="s">
        <v>151</v>
      </c>
      <c r="N21" t="s">
        <v>152</v>
      </c>
      <c r="O21" t="s">
        <v>153</v>
      </c>
    </row>
    <row r="22" spans="1:15" x14ac:dyDescent="0.45">
      <c r="A22">
        <f t="shared" si="0"/>
        <v>21</v>
      </c>
      <c r="B22" s="14">
        <v>43120</v>
      </c>
      <c r="C22" s="14">
        <f>EOMONTH(tbl_GLSalesDetail[[#This Row],[Date]],-1)+1</f>
        <v>43101</v>
      </c>
      <c r="D22" s="17">
        <v>1001</v>
      </c>
      <c r="E22" t="s">
        <v>146</v>
      </c>
      <c r="F22" t="s">
        <v>147</v>
      </c>
      <c r="G22" t="s">
        <v>148</v>
      </c>
      <c r="H22" t="s">
        <v>142</v>
      </c>
      <c r="I22" t="s">
        <v>143</v>
      </c>
      <c r="J22" s="18">
        <v>42995.975000000006</v>
      </c>
      <c r="K22" t="s">
        <v>145</v>
      </c>
      <c r="L22" t="s">
        <v>150</v>
      </c>
      <c r="M22" t="s">
        <v>151</v>
      </c>
      <c r="N22" t="s">
        <v>152</v>
      </c>
      <c r="O22" t="s">
        <v>153</v>
      </c>
    </row>
    <row r="23" spans="1:15" x14ac:dyDescent="0.45">
      <c r="A23">
        <f t="shared" si="0"/>
        <v>22</v>
      </c>
      <c r="B23" s="14">
        <v>43120</v>
      </c>
      <c r="C23" s="14">
        <f>EOMONTH(tbl_GLSalesDetail[[#This Row],[Date]],-1)+1</f>
        <v>43101</v>
      </c>
      <c r="D23" s="17">
        <v>1001</v>
      </c>
      <c r="E23" t="s">
        <v>146</v>
      </c>
      <c r="F23" t="s">
        <v>147</v>
      </c>
      <c r="G23" t="s">
        <v>148</v>
      </c>
      <c r="H23" t="s">
        <v>142</v>
      </c>
      <c r="I23" t="s">
        <v>143</v>
      </c>
      <c r="J23" s="18">
        <v>32930.700000000004</v>
      </c>
      <c r="K23" t="s">
        <v>145</v>
      </c>
      <c r="L23" t="s">
        <v>150</v>
      </c>
      <c r="M23" t="s">
        <v>151</v>
      </c>
      <c r="N23" t="s">
        <v>152</v>
      </c>
      <c r="O23" t="s">
        <v>153</v>
      </c>
    </row>
    <row r="24" spans="1:15" x14ac:dyDescent="0.45">
      <c r="A24">
        <f t="shared" si="0"/>
        <v>23</v>
      </c>
      <c r="B24" s="14">
        <v>43120</v>
      </c>
      <c r="C24" s="14">
        <f>EOMONTH(tbl_GLSalesDetail[[#This Row],[Date]],-1)+1</f>
        <v>43101</v>
      </c>
      <c r="D24" s="17">
        <v>1001</v>
      </c>
      <c r="E24" t="s">
        <v>146</v>
      </c>
      <c r="F24" t="s">
        <v>147</v>
      </c>
      <c r="G24" t="s">
        <v>148</v>
      </c>
      <c r="H24" t="s">
        <v>142</v>
      </c>
      <c r="I24" t="s">
        <v>154</v>
      </c>
      <c r="J24" s="18">
        <v>33197.175000000003</v>
      </c>
      <c r="K24" t="s">
        <v>97</v>
      </c>
      <c r="L24" t="s">
        <v>150</v>
      </c>
      <c r="M24" t="s">
        <v>151</v>
      </c>
      <c r="N24" t="s">
        <v>152</v>
      </c>
      <c r="O24" t="s">
        <v>153</v>
      </c>
    </row>
    <row r="25" spans="1:15" x14ac:dyDescent="0.45">
      <c r="A25">
        <f t="shared" si="0"/>
        <v>24</v>
      </c>
      <c r="B25" s="14">
        <v>43120</v>
      </c>
      <c r="C25" s="14">
        <f>EOMONTH(tbl_GLSalesDetail[[#This Row],[Date]],-1)+1</f>
        <v>43101</v>
      </c>
      <c r="D25" s="17">
        <v>1001</v>
      </c>
      <c r="E25" t="s">
        <v>146</v>
      </c>
      <c r="F25" t="s">
        <v>147</v>
      </c>
      <c r="G25" t="s">
        <v>148</v>
      </c>
      <c r="H25" t="s">
        <v>142</v>
      </c>
      <c r="I25" t="s">
        <v>149</v>
      </c>
      <c r="J25" s="18">
        <v>40607.050000000003</v>
      </c>
      <c r="K25" t="s">
        <v>97</v>
      </c>
      <c r="L25" t="s">
        <v>150</v>
      </c>
      <c r="M25" t="s">
        <v>151</v>
      </c>
      <c r="N25" t="s">
        <v>152</v>
      </c>
      <c r="O25" t="s">
        <v>153</v>
      </c>
    </row>
    <row r="26" spans="1:15" x14ac:dyDescent="0.45">
      <c r="A26">
        <f t="shared" si="0"/>
        <v>25</v>
      </c>
      <c r="B26" s="14">
        <v>43120</v>
      </c>
      <c r="C26" s="14">
        <f>EOMONTH(tbl_GLSalesDetail[[#This Row],[Date]],-1)+1</f>
        <v>43101</v>
      </c>
      <c r="D26" s="17">
        <v>1001</v>
      </c>
      <c r="E26" t="s">
        <v>146</v>
      </c>
      <c r="F26" t="s">
        <v>147</v>
      </c>
      <c r="G26" t="s">
        <v>148</v>
      </c>
      <c r="H26" t="s">
        <v>142</v>
      </c>
      <c r="I26" t="s">
        <v>154</v>
      </c>
      <c r="J26" s="18">
        <v>11491.150000000001</v>
      </c>
      <c r="K26" t="s">
        <v>97</v>
      </c>
      <c r="L26" t="s">
        <v>150</v>
      </c>
      <c r="M26" t="s">
        <v>151</v>
      </c>
      <c r="N26" t="s">
        <v>152</v>
      </c>
      <c r="O26" t="s">
        <v>153</v>
      </c>
    </row>
    <row r="27" spans="1:15" x14ac:dyDescent="0.45">
      <c r="A27">
        <f t="shared" si="0"/>
        <v>26</v>
      </c>
      <c r="B27" s="14">
        <v>43120</v>
      </c>
      <c r="C27" s="14">
        <f>EOMONTH(tbl_GLSalesDetail[[#This Row],[Date]],-1)+1</f>
        <v>43101</v>
      </c>
      <c r="D27" s="17">
        <v>1002</v>
      </c>
      <c r="E27" t="s">
        <v>146</v>
      </c>
      <c r="F27" t="s">
        <v>147</v>
      </c>
      <c r="G27" t="s">
        <v>148</v>
      </c>
      <c r="H27" t="s">
        <v>142</v>
      </c>
      <c r="I27" t="s">
        <v>149</v>
      </c>
      <c r="J27" s="18">
        <v>26203.375</v>
      </c>
      <c r="K27" t="s">
        <v>104</v>
      </c>
      <c r="L27" t="s">
        <v>150</v>
      </c>
      <c r="M27" t="s">
        <v>151</v>
      </c>
      <c r="N27" t="s">
        <v>152</v>
      </c>
      <c r="O27" t="s">
        <v>153</v>
      </c>
    </row>
    <row r="28" spans="1:15" x14ac:dyDescent="0.45">
      <c r="A28">
        <f t="shared" si="0"/>
        <v>27</v>
      </c>
      <c r="B28" s="14">
        <v>43120</v>
      </c>
      <c r="C28" s="14">
        <f>EOMONTH(tbl_GLSalesDetail[[#This Row],[Date]],-1)+1</f>
        <v>43101</v>
      </c>
      <c r="D28" s="17">
        <v>1002</v>
      </c>
      <c r="E28" t="s">
        <v>146</v>
      </c>
      <c r="F28" t="s">
        <v>147</v>
      </c>
      <c r="G28" t="s">
        <v>148</v>
      </c>
      <c r="H28" t="s">
        <v>142</v>
      </c>
      <c r="I28" t="s">
        <v>143</v>
      </c>
      <c r="J28" s="18">
        <v>10233.575000000001</v>
      </c>
      <c r="K28" t="s">
        <v>104</v>
      </c>
      <c r="L28" t="s">
        <v>150</v>
      </c>
      <c r="M28" t="s">
        <v>151</v>
      </c>
      <c r="N28" t="s">
        <v>152</v>
      </c>
      <c r="O28" t="s">
        <v>153</v>
      </c>
    </row>
    <row r="29" spans="1:15" x14ac:dyDescent="0.45">
      <c r="A29">
        <f t="shared" si="0"/>
        <v>28</v>
      </c>
      <c r="B29" s="14">
        <v>43121</v>
      </c>
      <c r="C29" s="14">
        <f>EOMONTH(tbl_GLSalesDetail[[#This Row],[Date]],-1)+1</f>
        <v>43101</v>
      </c>
      <c r="D29" s="17">
        <v>1001</v>
      </c>
      <c r="E29" t="s">
        <v>155</v>
      </c>
      <c r="F29" t="s">
        <v>117</v>
      </c>
      <c r="G29" t="s">
        <v>156</v>
      </c>
      <c r="H29" t="s">
        <v>142</v>
      </c>
      <c r="I29" t="s">
        <v>157</v>
      </c>
      <c r="J29" s="18">
        <v>2949.9250000000002</v>
      </c>
      <c r="K29" t="s">
        <v>97</v>
      </c>
      <c r="L29" t="s">
        <v>158</v>
      </c>
      <c r="M29" t="s">
        <v>159</v>
      </c>
      <c r="N29" t="s">
        <v>140</v>
      </c>
      <c r="O29" t="s">
        <v>141</v>
      </c>
    </row>
    <row r="30" spans="1:15" x14ac:dyDescent="0.45">
      <c r="A30">
        <f t="shared" si="0"/>
        <v>29</v>
      </c>
      <c r="B30" s="14">
        <v>43122</v>
      </c>
      <c r="C30" s="14">
        <f>EOMONTH(tbl_GLSalesDetail[[#This Row],[Date]],-1)+1</f>
        <v>43101</v>
      </c>
      <c r="D30" s="17">
        <v>1001</v>
      </c>
      <c r="E30" t="s">
        <v>155</v>
      </c>
      <c r="F30" t="s">
        <v>117</v>
      </c>
      <c r="G30" t="s">
        <v>156</v>
      </c>
      <c r="H30" t="s">
        <v>102</v>
      </c>
      <c r="I30" t="s">
        <v>160</v>
      </c>
      <c r="J30" s="18">
        <v>41485.950000000004</v>
      </c>
      <c r="K30" t="s">
        <v>145</v>
      </c>
      <c r="L30" t="s">
        <v>158</v>
      </c>
      <c r="M30" t="s">
        <v>159</v>
      </c>
      <c r="N30" t="s">
        <v>140</v>
      </c>
      <c r="O30" t="s">
        <v>141</v>
      </c>
    </row>
    <row r="31" spans="1:15" x14ac:dyDescent="0.45">
      <c r="A31">
        <f t="shared" si="0"/>
        <v>30</v>
      </c>
      <c r="B31" s="14">
        <v>43122</v>
      </c>
      <c r="C31" s="14">
        <f>EOMONTH(tbl_GLSalesDetail[[#This Row],[Date]],-1)+1</f>
        <v>43101</v>
      </c>
      <c r="D31" s="17">
        <v>1001</v>
      </c>
      <c r="E31" t="s">
        <v>155</v>
      </c>
      <c r="F31" t="s">
        <v>117</v>
      </c>
      <c r="G31" t="s">
        <v>156</v>
      </c>
      <c r="H31" t="s">
        <v>102</v>
      </c>
      <c r="I31" t="s">
        <v>161</v>
      </c>
      <c r="J31" s="18">
        <v>22795.300000000003</v>
      </c>
      <c r="K31" t="s">
        <v>145</v>
      </c>
      <c r="L31" t="s">
        <v>158</v>
      </c>
      <c r="M31" t="s">
        <v>159</v>
      </c>
      <c r="N31" t="s">
        <v>140</v>
      </c>
      <c r="O31" t="s">
        <v>141</v>
      </c>
    </row>
    <row r="32" spans="1:15" x14ac:dyDescent="0.45">
      <c r="A32">
        <f t="shared" si="0"/>
        <v>31</v>
      </c>
      <c r="B32" s="14">
        <v>43122</v>
      </c>
      <c r="C32" s="14">
        <f>EOMONTH(tbl_GLSalesDetail[[#This Row],[Date]],-1)+1</f>
        <v>43101</v>
      </c>
      <c r="D32" s="17">
        <v>1001</v>
      </c>
      <c r="E32" t="s">
        <v>155</v>
      </c>
      <c r="F32" t="s">
        <v>117</v>
      </c>
      <c r="G32" t="s">
        <v>156</v>
      </c>
      <c r="H32" t="s">
        <v>102</v>
      </c>
      <c r="I32" t="s">
        <v>160</v>
      </c>
      <c r="J32" s="18">
        <v>21649.925000000003</v>
      </c>
      <c r="K32" t="s">
        <v>145</v>
      </c>
      <c r="L32" t="s">
        <v>158</v>
      </c>
      <c r="M32" t="s">
        <v>159</v>
      </c>
      <c r="N32" t="s">
        <v>140</v>
      </c>
      <c r="O32" t="s">
        <v>141</v>
      </c>
    </row>
    <row r="33" spans="1:15" x14ac:dyDescent="0.45">
      <c r="A33">
        <f t="shared" si="0"/>
        <v>32</v>
      </c>
      <c r="B33" s="14">
        <v>43122</v>
      </c>
      <c r="C33" s="14">
        <f>EOMONTH(tbl_GLSalesDetail[[#This Row],[Date]],-1)+1</f>
        <v>43101</v>
      </c>
      <c r="D33" s="17">
        <v>1001</v>
      </c>
      <c r="E33" t="s">
        <v>155</v>
      </c>
      <c r="F33" t="s">
        <v>117</v>
      </c>
      <c r="G33" t="s">
        <v>156</v>
      </c>
      <c r="H33" t="s">
        <v>102</v>
      </c>
      <c r="I33" t="s">
        <v>160</v>
      </c>
      <c r="J33" s="18">
        <v>25319.800000000003</v>
      </c>
      <c r="K33" t="s">
        <v>97</v>
      </c>
      <c r="L33" t="s">
        <v>158</v>
      </c>
      <c r="M33" t="s">
        <v>159</v>
      </c>
      <c r="N33" t="s">
        <v>140</v>
      </c>
      <c r="O33" t="s">
        <v>141</v>
      </c>
    </row>
    <row r="34" spans="1:15" x14ac:dyDescent="0.45">
      <c r="A34">
        <f t="shared" si="0"/>
        <v>33</v>
      </c>
      <c r="B34" s="14">
        <v>43122</v>
      </c>
      <c r="C34" s="14">
        <f>EOMONTH(tbl_GLSalesDetail[[#This Row],[Date]],-1)+1</f>
        <v>43101</v>
      </c>
      <c r="D34" s="17">
        <v>1001</v>
      </c>
      <c r="E34" t="s">
        <v>155</v>
      </c>
      <c r="F34" t="s">
        <v>117</v>
      </c>
      <c r="G34" t="s">
        <v>156</v>
      </c>
      <c r="H34" t="s">
        <v>102</v>
      </c>
      <c r="I34" t="s">
        <v>161</v>
      </c>
      <c r="J34" s="18">
        <v>38783.800000000003</v>
      </c>
      <c r="K34" t="s">
        <v>97</v>
      </c>
      <c r="L34" t="s">
        <v>158</v>
      </c>
      <c r="M34" t="s">
        <v>159</v>
      </c>
      <c r="N34" t="s">
        <v>140</v>
      </c>
      <c r="O34" t="s">
        <v>141</v>
      </c>
    </row>
    <row r="35" spans="1:15" x14ac:dyDescent="0.45">
      <c r="A35">
        <f t="shared" si="0"/>
        <v>34</v>
      </c>
      <c r="B35" s="14">
        <v>43130</v>
      </c>
      <c r="C35" s="14">
        <f>EOMONTH(tbl_GLSalesDetail[[#This Row],[Date]],-1)+1</f>
        <v>43101</v>
      </c>
      <c r="D35" s="17">
        <v>1001</v>
      </c>
      <c r="E35" t="s">
        <v>136</v>
      </c>
      <c r="F35" t="s">
        <v>106</v>
      </c>
      <c r="G35" t="s">
        <v>162</v>
      </c>
      <c r="H35" t="s">
        <v>163</v>
      </c>
      <c r="I35" t="s">
        <v>164</v>
      </c>
      <c r="J35" s="18">
        <v>20079.125</v>
      </c>
      <c r="K35" t="s">
        <v>145</v>
      </c>
      <c r="L35" t="s">
        <v>165</v>
      </c>
      <c r="M35" t="s">
        <v>166</v>
      </c>
      <c r="N35" t="s">
        <v>167</v>
      </c>
      <c r="O35" t="s">
        <v>168</v>
      </c>
    </row>
    <row r="36" spans="1:15" x14ac:dyDescent="0.45">
      <c r="A36">
        <f t="shared" si="0"/>
        <v>35</v>
      </c>
      <c r="B36" s="14">
        <v>43130</v>
      </c>
      <c r="C36" s="14">
        <f>EOMONTH(tbl_GLSalesDetail[[#This Row],[Date]],-1)+1</f>
        <v>43101</v>
      </c>
      <c r="D36" s="17">
        <v>1002</v>
      </c>
      <c r="E36" t="s">
        <v>136</v>
      </c>
      <c r="F36" t="s">
        <v>106</v>
      </c>
      <c r="G36" t="s">
        <v>162</v>
      </c>
      <c r="H36" t="s">
        <v>163</v>
      </c>
      <c r="I36" t="s">
        <v>164</v>
      </c>
      <c r="J36" s="18">
        <v>4483.3249999999998</v>
      </c>
      <c r="K36" t="s">
        <v>104</v>
      </c>
      <c r="L36" t="s">
        <v>165</v>
      </c>
      <c r="M36" t="s">
        <v>166</v>
      </c>
      <c r="N36" t="s">
        <v>167</v>
      </c>
      <c r="O36" t="s">
        <v>168</v>
      </c>
    </row>
    <row r="37" spans="1:15" x14ac:dyDescent="0.45">
      <c r="A37">
        <f t="shared" si="0"/>
        <v>36</v>
      </c>
      <c r="B37" s="14">
        <v>43130</v>
      </c>
      <c r="C37" s="14">
        <f>EOMONTH(tbl_GLSalesDetail[[#This Row],[Date]],-1)+1</f>
        <v>43101</v>
      </c>
      <c r="D37" s="17">
        <v>1002</v>
      </c>
      <c r="E37" t="s">
        <v>136</v>
      </c>
      <c r="F37" t="s">
        <v>106</v>
      </c>
      <c r="G37" t="s">
        <v>162</v>
      </c>
      <c r="H37" t="s">
        <v>163</v>
      </c>
      <c r="I37" t="s">
        <v>164</v>
      </c>
      <c r="J37" s="18">
        <v>25628.350000000002</v>
      </c>
      <c r="K37" t="s">
        <v>104</v>
      </c>
      <c r="L37" t="s">
        <v>165</v>
      </c>
      <c r="M37" t="s">
        <v>166</v>
      </c>
      <c r="N37" t="s">
        <v>167</v>
      </c>
      <c r="O37" t="s">
        <v>168</v>
      </c>
    </row>
    <row r="38" spans="1:15" x14ac:dyDescent="0.45">
      <c r="A38">
        <f t="shared" si="0"/>
        <v>37</v>
      </c>
      <c r="B38" s="14">
        <v>43134</v>
      </c>
      <c r="C38" s="14">
        <f>EOMONTH(tbl_GLSalesDetail[[#This Row],[Date]],-1)+1</f>
        <v>43132</v>
      </c>
      <c r="D38" s="17">
        <v>1001</v>
      </c>
      <c r="E38" t="s">
        <v>136</v>
      </c>
      <c r="F38" t="s">
        <v>106</v>
      </c>
      <c r="G38" t="s">
        <v>137</v>
      </c>
      <c r="H38" t="s">
        <v>95</v>
      </c>
      <c r="I38" t="s">
        <v>96</v>
      </c>
      <c r="J38" s="18">
        <v>43846.825000000004</v>
      </c>
      <c r="K38" t="s">
        <v>145</v>
      </c>
      <c r="L38" t="s">
        <v>138</v>
      </c>
      <c r="M38" t="s">
        <v>139</v>
      </c>
      <c r="N38" t="s">
        <v>140</v>
      </c>
      <c r="O38" t="s">
        <v>141</v>
      </c>
    </row>
    <row r="39" spans="1:15" x14ac:dyDescent="0.45">
      <c r="A39">
        <f t="shared" si="0"/>
        <v>38</v>
      </c>
      <c r="B39" s="14">
        <v>43134</v>
      </c>
      <c r="C39" s="14">
        <f>EOMONTH(tbl_GLSalesDetail[[#This Row],[Date]],-1)+1</f>
        <v>43132</v>
      </c>
      <c r="D39" s="17">
        <v>1001</v>
      </c>
      <c r="E39" t="s">
        <v>155</v>
      </c>
      <c r="F39" t="s">
        <v>117</v>
      </c>
      <c r="G39" t="s">
        <v>156</v>
      </c>
      <c r="H39" t="s">
        <v>95</v>
      </c>
      <c r="I39" t="s">
        <v>96</v>
      </c>
      <c r="J39" s="18">
        <v>1028.5</v>
      </c>
      <c r="K39" t="s">
        <v>97</v>
      </c>
      <c r="L39" t="s">
        <v>158</v>
      </c>
      <c r="M39" t="s">
        <v>159</v>
      </c>
      <c r="N39" t="s">
        <v>140</v>
      </c>
      <c r="O39" t="s">
        <v>141</v>
      </c>
    </row>
    <row r="40" spans="1:15" x14ac:dyDescent="0.45">
      <c r="A40">
        <f t="shared" si="0"/>
        <v>39</v>
      </c>
      <c r="B40" s="14">
        <v>43134</v>
      </c>
      <c r="C40" s="14">
        <f>EOMONTH(tbl_GLSalesDetail[[#This Row],[Date]],-1)+1</f>
        <v>43132</v>
      </c>
      <c r="D40" s="17">
        <v>1001</v>
      </c>
      <c r="E40" t="s">
        <v>155</v>
      </c>
      <c r="F40" t="s">
        <v>117</v>
      </c>
      <c r="G40" t="s">
        <v>156</v>
      </c>
      <c r="H40" t="s">
        <v>169</v>
      </c>
      <c r="I40" t="s">
        <v>170</v>
      </c>
      <c r="J40" s="18">
        <v>23795.75</v>
      </c>
      <c r="K40" t="s">
        <v>97</v>
      </c>
      <c r="L40" t="s">
        <v>158</v>
      </c>
      <c r="M40" t="s">
        <v>159</v>
      </c>
      <c r="N40" t="s">
        <v>140</v>
      </c>
      <c r="O40" t="s">
        <v>141</v>
      </c>
    </row>
    <row r="41" spans="1:15" x14ac:dyDescent="0.45">
      <c r="A41">
        <f t="shared" si="0"/>
        <v>40</v>
      </c>
      <c r="B41" s="14">
        <v>43135</v>
      </c>
      <c r="C41" s="14">
        <f>EOMONTH(tbl_GLSalesDetail[[#This Row],[Date]],-1)+1</f>
        <v>43132</v>
      </c>
      <c r="D41" s="17">
        <v>1002</v>
      </c>
      <c r="E41" t="s">
        <v>116</v>
      </c>
      <c r="F41" t="s">
        <v>117</v>
      </c>
      <c r="G41" t="s">
        <v>118</v>
      </c>
      <c r="H41" t="s">
        <v>102</v>
      </c>
      <c r="I41" t="s">
        <v>103</v>
      </c>
      <c r="J41" s="18">
        <v>40130.200000000004</v>
      </c>
      <c r="K41" t="s">
        <v>104</v>
      </c>
      <c r="L41" t="s">
        <v>121</v>
      </c>
      <c r="M41" t="s">
        <v>122</v>
      </c>
      <c r="N41" t="s">
        <v>123</v>
      </c>
      <c r="O41" t="s">
        <v>124</v>
      </c>
    </row>
    <row r="42" spans="1:15" x14ac:dyDescent="0.45">
      <c r="A42">
        <f t="shared" si="0"/>
        <v>41</v>
      </c>
      <c r="B42" s="14">
        <v>43137</v>
      </c>
      <c r="C42" s="14">
        <f>EOMONTH(tbl_GLSalesDetail[[#This Row],[Date]],-1)+1</f>
        <v>43132</v>
      </c>
      <c r="D42" s="17">
        <v>1001</v>
      </c>
      <c r="E42" t="s">
        <v>146</v>
      </c>
      <c r="F42" t="s">
        <v>147</v>
      </c>
      <c r="G42" t="s">
        <v>148</v>
      </c>
      <c r="H42" t="s">
        <v>163</v>
      </c>
      <c r="I42" t="s">
        <v>164</v>
      </c>
      <c r="J42" s="18">
        <v>8424.35</v>
      </c>
      <c r="K42" t="s">
        <v>97</v>
      </c>
      <c r="L42" t="s">
        <v>150</v>
      </c>
      <c r="M42" t="s">
        <v>151</v>
      </c>
      <c r="N42" t="s">
        <v>152</v>
      </c>
      <c r="O42" t="s">
        <v>153</v>
      </c>
    </row>
    <row r="43" spans="1:15" x14ac:dyDescent="0.45">
      <c r="A43">
        <f t="shared" si="0"/>
        <v>42</v>
      </c>
      <c r="B43" s="14">
        <v>43137</v>
      </c>
      <c r="C43" s="14">
        <f>EOMONTH(tbl_GLSalesDetail[[#This Row],[Date]],-1)+1</f>
        <v>43132</v>
      </c>
      <c r="D43" s="17">
        <v>1001</v>
      </c>
      <c r="E43" t="s">
        <v>116</v>
      </c>
      <c r="F43" t="s">
        <v>117</v>
      </c>
      <c r="G43" t="s">
        <v>118</v>
      </c>
      <c r="H43" t="s">
        <v>102</v>
      </c>
      <c r="I43" t="s">
        <v>161</v>
      </c>
      <c r="J43" s="18">
        <v>31355.225000000002</v>
      </c>
      <c r="K43" t="s">
        <v>97</v>
      </c>
      <c r="L43" t="s">
        <v>121</v>
      </c>
      <c r="M43" t="s">
        <v>122</v>
      </c>
      <c r="N43" t="s">
        <v>123</v>
      </c>
      <c r="O43" t="s">
        <v>124</v>
      </c>
    </row>
    <row r="44" spans="1:15" x14ac:dyDescent="0.45">
      <c r="A44">
        <f t="shared" si="0"/>
        <v>43</v>
      </c>
      <c r="B44" s="14">
        <v>43137</v>
      </c>
      <c r="C44" s="14">
        <f>EOMONTH(tbl_GLSalesDetail[[#This Row],[Date]],-1)+1</f>
        <v>43132</v>
      </c>
      <c r="D44" s="17">
        <v>1001</v>
      </c>
      <c r="E44" t="s">
        <v>146</v>
      </c>
      <c r="F44" t="s">
        <v>147</v>
      </c>
      <c r="G44" t="s">
        <v>148</v>
      </c>
      <c r="H44" t="s">
        <v>163</v>
      </c>
      <c r="I44" t="s">
        <v>164</v>
      </c>
      <c r="J44" s="18">
        <v>31401.975000000002</v>
      </c>
      <c r="K44" t="s">
        <v>97</v>
      </c>
      <c r="L44" t="s">
        <v>150</v>
      </c>
      <c r="M44" t="s">
        <v>151</v>
      </c>
      <c r="N44" t="s">
        <v>152</v>
      </c>
      <c r="O44" t="s">
        <v>153</v>
      </c>
    </row>
    <row r="45" spans="1:15" x14ac:dyDescent="0.45">
      <c r="A45">
        <f t="shared" si="0"/>
        <v>44</v>
      </c>
      <c r="B45" s="14">
        <v>43137</v>
      </c>
      <c r="C45" s="14">
        <f>EOMONTH(tbl_GLSalesDetail[[#This Row],[Date]],-1)+1</f>
        <v>43132</v>
      </c>
      <c r="D45" s="17">
        <v>1002</v>
      </c>
      <c r="E45" t="s">
        <v>146</v>
      </c>
      <c r="F45" t="s">
        <v>147</v>
      </c>
      <c r="G45" t="s">
        <v>148</v>
      </c>
      <c r="H45" t="s">
        <v>163</v>
      </c>
      <c r="I45" t="s">
        <v>164</v>
      </c>
      <c r="J45" s="18">
        <v>36787.575000000004</v>
      </c>
      <c r="K45" t="s">
        <v>104</v>
      </c>
      <c r="L45" t="s">
        <v>150</v>
      </c>
      <c r="M45" t="s">
        <v>151</v>
      </c>
      <c r="N45" t="s">
        <v>152</v>
      </c>
      <c r="O45" t="s">
        <v>153</v>
      </c>
    </row>
    <row r="46" spans="1:15" x14ac:dyDescent="0.45">
      <c r="A46">
        <f t="shared" si="0"/>
        <v>45</v>
      </c>
      <c r="B46" s="14">
        <v>43138</v>
      </c>
      <c r="C46" s="14">
        <f>EOMONTH(tbl_GLSalesDetail[[#This Row],[Date]],-1)+1</f>
        <v>43132</v>
      </c>
      <c r="D46" s="17">
        <v>1001</v>
      </c>
      <c r="E46" t="s">
        <v>136</v>
      </c>
      <c r="F46" t="s">
        <v>106</v>
      </c>
      <c r="G46" t="s">
        <v>137</v>
      </c>
      <c r="H46" t="s">
        <v>127</v>
      </c>
      <c r="I46" t="s">
        <v>128</v>
      </c>
      <c r="J46" s="18">
        <v>43846.825000000004</v>
      </c>
      <c r="K46" t="s">
        <v>145</v>
      </c>
      <c r="L46" t="s">
        <v>138</v>
      </c>
      <c r="M46" t="s">
        <v>139</v>
      </c>
      <c r="N46" t="s">
        <v>140</v>
      </c>
      <c r="O46" t="s">
        <v>141</v>
      </c>
    </row>
    <row r="47" spans="1:15" x14ac:dyDescent="0.45">
      <c r="A47">
        <f t="shared" si="0"/>
        <v>46</v>
      </c>
      <c r="B47" s="14">
        <v>43138</v>
      </c>
      <c r="C47" s="14">
        <f>EOMONTH(tbl_GLSalesDetail[[#This Row],[Date]],-1)+1</f>
        <v>43132</v>
      </c>
      <c r="D47" s="17">
        <v>1001</v>
      </c>
      <c r="E47" t="s">
        <v>105</v>
      </c>
      <c r="F47" t="s">
        <v>106</v>
      </c>
      <c r="G47" t="s">
        <v>107</v>
      </c>
      <c r="H47" t="s">
        <v>127</v>
      </c>
      <c r="I47" t="s">
        <v>128</v>
      </c>
      <c r="J47" s="18">
        <v>17937.975000000002</v>
      </c>
      <c r="K47" t="s">
        <v>97</v>
      </c>
      <c r="L47" t="s">
        <v>110</v>
      </c>
      <c r="M47" t="s">
        <v>111</v>
      </c>
      <c r="N47" t="s">
        <v>112</v>
      </c>
      <c r="O47" t="s">
        <v>113</v>
      </c>
    </row>
    <row r="48" spans="1:15" x14ac:dyDescent="0.45">
      <c r="A48">
        <f t="shared" si="0"/>
        <v>47</v>
      </c>
      <c r="B48" s="14">
        <v>43138</v>
      </c>
      <c r="C48" s="14">
        <f>EOMONTH(tbl_GLSalesDetail[[#This Row],[Date]],-1)+1</f>
        <v>43132</v>
      </c>
      <c r="D48" s="17">
        <v>1001</v>
      </c>
      <c r="E48" t="s">
        <v>105</v>
      </c>
      <c r="F48" t="s">
        <v>106</v>
      </c>
      <c r="G48" t="s">
        <v>107</v>
      </c>
      <c r="H48" t="s">
        <v>102</v>
      </c>
      <c r="I48" t="s">
        <v>144</v>
      </c>
      <c r="J48" s="18">
        <v>24581.15</v>
      </c>
      <c r="K48" t="s">
        <v>97</v>
      </c>
      <c r="L48" t="s">
        <v>110</v>
      </c>
      <c r="M48" t="s">
        <v>111</v>
      </c>
      <c r="N48" t="s">
        <v>112</v>
      </c>
      <c r="O48" t="s">
        <v>113</v>
      </c>
    </row>
    <row r="49" spans="1:15" x14ac:dyDescent="0.45">
      <c r="A49">
        <f t="shared" si="0"/>
        <v>48</v>
      </c>
      <c r="B49" s="14">
        <v>43138</v>
      </c>
      <c r="C49" s="14">
        <f>EOMONTH(tbl_GLSalesDetail[[#This Row],[Date]],-1)+1</f>
        <v>43132</v>
      </c>
      <c r="D49" s="17">
        <v>1001</v>
      </c>
      <c r="E49" t="s">
        <v>105</v>
      </c>
      <c r="F49" t="s">
        <v>106</v>
      </c>
      <c r="G49" t="s">
        <v>107</v>
      </c>
      <c r="H49" t="s">
        <v>142</v>
      </c>
      <c r="I49" t="s">
        <v>143</v>
      </c>
      <c r="J49" s="18">
        <v>8139.1750000000002</v>
      </c>
      <c r="K49" t="s">
        <v>97</v>
      </c>
      <c r="L49" t="s">
        <v>110</v>
      </c>
      <c r="M49" t="s">
        <v>111</v>
      </c>
      <c r="N49" t="s">
        <v>112</v>
      </c>
      <c r="O49" t="s">
        <v>113</v>
      </c>
    </row>
    <row r="50" spans="1:15" x14ac:dyDescent="0.45">
      <c r="A50">
        <f t="shared" si="0"/>
        <v>49</v>
      </c>
      <c r="B50" s="14">
        <v>43141</v>
      </c>
      <c r="C50" s="14">
        <f>EOMONTH(tbl_GLSalesDetail[[#This Row],[Date]],-1)+1</f>
        <v>43132</v>
      </c>
      <c r="D50" s="17">
        <v>1001</v>
      </c>
      <c r="E50" t="s">
        <v>146</v>
      </c>
      <c r="F50" t="s">
        <v>147</v>
      </c>
      <c r="G50" t="s">
        <v>171</v>
      </c>
      <c r="H50" t="s">
        <v>95</v>
      </c>
      <c r="I50" t="s">
        <v>96</v>
      </c>
      <c r="J50" s="18">
        <v>13823.975</v>
      </c>
      <c r="K50" t="s">
        <v>145</v>
      </c>
      <c r="L50" t="s">
        <v>172</v>
      </c>
      <c r="M50" t="s">
        <v>173</v>
      </c>
      <c r="N50" t="s">
        <v>174</v>
      </c>
      <c r="O50" t="s">
        <v>175</v>
      </c>
    </row>
    <row r="51" spans="1:15" x14ac:dyDescent="0.45">
      <c r="A51">
        <f t="shared" si="0"/>
        <v>50</v>
      </c>
      <c r="B51" s="14">
        <v>43141</v>
      </c>
      <c r="C51" s="14">
        <f>EOMONTH(tbl_GLSalesDetail[[#This Row],[Date]],-1)+1</f>
        <v>43132</v>
      </c>
      <c r="D51" s="17">
        <v>1001</v>
      </c>
      <c r="E51" t="s">
        <v>146</v>
      </c>
      <c r="F51" t="s">
        <v>147</v>
      </c>
      <c r="G51" t="s">
        <v>171</v>
      </c>
      <c r="H51" t="s">
        <v>95</v>
      </c>
      <c r="I51" t="s">
        <v>96</v>
      </c>
      <c r="J51" s="18">
        <v>5091.0750000000007</v>
      </c>
      <c r="K51" t="s">
        <v>97</v>
      </c>
      <c r="L51" t="s">
        <v>172</v>
      </c>
      <c r="M51" t="s">
        <v>173</v>
      </c>
      <c r="N51" t="s">
        <v>174</v>
      </c>
      <c r="O51" t="s">
        <v>175</v>
      </c>
    </row>
    <row r="52" spans="1:15" x14ac:dyDescent="0.45">
      <c r="A52">
        <f t="shared" si="0"/>
        <v>51</v>
      </c>
      <c r="B52" s="14">
        <v>43141</v>
      </c>
      <c r="C52" s="14">
        <f>EOMONTH(tbl_GLSalesDetail[[#This Row],[Date]],-1)+1</f>
        <v>43132</v>
      </c>
      <c r="D52" s="17">
        <v>1001</v>
      </c>
      <c r="E52" t="s">
        <v>146</v>
      </c>
      <c r="F52" t="s">
        <v>147</v>
      </c>
      <c r="G52" t="s">
        <v>171</v>
      </c>
      <c r="H52" t="s">
        <v>95</v>
      </c>
      <c r="I52" t="s">
        <v>96</v>
      </c>
      <c r="J52" s="18">
        <v>8083.0750000000007</v>
      </c>
      <c r="K52" t="s">
        <v>97</v>
      </c>
      <c r="L52" t="s">
        <v>172</v>
      </c>
      <c r="M52" t="s">
        <v>173</v>
      </c>
      <c r="N52" t="s">
        <v>174</v>
      </c>
      <c r="O52" t="s">
        <v>175</v>
      </c>
    </row>
    <row r="53" spans="1:15" x14ac:dyDescent="0.45">
      <c r="A53">
        <f t="shared" si="0"/>
        <v>52</v>
      </c>
      <c r="B53" s="14">
        <v>43144</v>
      </c>
      <c r="C53" s="14">
        <f>EOMONTH(tbl_GLSalesDetail[[#This Row],[Date]],-1)+1</f>
        <v>43132</v>
      </c>
      <c r="D53" s="17">
        <v>1001</v>
      </c>
      <c r="E53" t="s">
        <v>125</v>
      </c>
      <c r="F53" t="s">
        <v>93</v>
      </c>
      <c r="G53" t="s">
        <v>126</v>
      </c>
      <c r="H53" t="s">
        <v>102</v>
      </c>
      <c r="I53" t="s">
        <v>103</v>
      </c>
      <c r="J53" s="18">
        <v>11463.1</v>
      </c>
      <c r="K53" t="s">
        <v>97</v>
      </c>
      <c r="L53" t="s">
        <v>129</v>
      </c>
      <c r="M53" t="s">
        <v>130</v>
      </c>
      <c r="N53" t="s">
        <v>131</v>
      </c>
      <c r="O53" t="s">
        <v>132</v>
      </c>
    </row>
    <row r="54" spans="1:15" x14ac:dyDescent="0.45">
      <c r="A54">
        <f t="shared" si="0"/>
        <v>53</v>
      </c>
      <c r="B54" s="14">
        <v>43144</v>
      </c>
      <c r="C54" s="14">
        <f>EOMONTH(tbl_GLSalesDetail[[#This Row],[Date]],-1)+1</f>
        <v>43132</v>
      </c>
      <c r="D54" s="17">
        <v>1001</v>
      </c>
      <c r="E54" t="s">
        <v>125</v>
      </c>
      <c r="F54" t="s">
        <v>93</v>
      </c>
      <c r="G54" t="s">
        <v>126</v>
      </c>
      <c r="H54" t="s">
        <v>102</v>
      </c>
      <c r="I54" t="s">
        <v>161</v>
      </c>
      <c r="J54" s="18">
        <v>7106</v>
      </c>
      <c r="K54" t="s">
        <v>97</v>
      </c>
      <c r="L54" t="s">
        <v>129</v>
      </c>
      <c r="M54" t="s">
        <v>130</v>
      </c>
      <c r="N54" t="s">
        <v>131</v>
      </c>
      <c r="O54" t="s">
        <v>132</v>
      </c>
    </row>
    <row r="55" spans="1:15" x14ac:dyDescent="0.45">
      <c r="A55">
        <f t="shared" si="0"/>
        <v>54</v>
      </c>
      <c r="B55" s="14">
        <v>43144</v>
      </c>
      <c r="C55" s="14">
        <f>EOMONTH(tbl_GLSalesDetail[[#This Row],[Date]],-1)+1</f>
        <v>43132</v>
      </c>
      <c r="D55" s="17">
        <v>1001</v>
      </c>
      <c r="E55" t="s">
        <v>125</v>
      </c>
      <c r="F55" t="s">
        <v>93</v>
      </c>
      <c r="G55" t="s">
        <v>126</v>
      </c>
      <c r="H55" t="s">
        <v>119</v>
      </c>
      <c r="I55" t="s">
        <v>133</v>
      </c>
      <c r="J55" s="18">
        <v>11776.325000000001</v>
      </c>
      <c r="K55" t="s">
        <v>97</v>
      </c>
      <c r="L55" t="s">
        <v>129</v>
      </c>
      <c r="M55" t="s">
        <v>130</v>
      </c>
      <c r="N55" t="s">
        <v>131</v>
      </c>
      <c r="O55" t="s">
        <v>132</v>
      </c>
    </row>
    <row r="56" spans="1:15" x14ac:dyDescent="0.45">
      <c r="A56">
        <f t="shared" si="0"/>
        <v>55</v>
      </c>
      <c r="B56" s="14">
        <v>43147</v>
      </c>
      <c r="C56" s="14">
        <f>EOMONTH(tbl_GLSalesDetail[[#This Row],[Date]],-1)+1</f>
        <v>43132</v>
      </c>
      <c r="D56" s="17">
        <v>1001</v>
      </c>
      <c r="E56" t="s">
        <v>136</v>
      </c>
      <c r="F56" t="s">
        <v>106</v>
      </c>
      <c r="G56" t="s">
        <v>137</v>
      </c>
      <c r="H56" t="s">
        <v>102</v>
      </c>
      <c r="I56" t="s">
        <v>160</v>
      </c>
      <c r="J56" s="18">
        <v>43846.825000000004</v>
      </c>
      <c r="K56" t="s">
        <v>145</v>
      </c>
      <c r="L56" t="s">
        <v>138</v>
      </c>
      <c r="M56" t="s">
        <v>139</v>
      </c>
      <c r="N56" t="s">
        <v>140</v>
      </c>
      <c r="O56" t="s">
        <v>141</v>
      </c>
    </row>
    <row r="57" spans="1:15" x14ac:dyDescent="0.45">
      <c r="A57">
        <f t="shared" si="0"/>
        <v>56</v>
      </c>
      <c r="B57" s="14">
        <v>43152</v>
      </c>
      <c r="C57" s="14">
        <f>EOMONTH(tbl_GLSalesDetail[[#This Row],[Date]],-1)+1</f>
        <v>43132</v>
      </c>
      <c r="D57" s="17">
        <v>1002</v>
      </c>
      <c r="E57" t="s">
        <v>116</v>
      </c>
      <c r="F57" t="s">
        <v>117</v>
      </c>
      <c r="G57" t="s">
        <v>118</v>
      </c>
      <c r="H57" t="s">
        <v>142</v>
      </c>
      <c r="I57" t="s">
        <v>157</v>
      </c>
      <c r="J57" s="18">
        <v>15974.475</v>
      </c>
      <c r="K57" t="s">
        <v>104</v>
      </c>
      <c r="L57" t="s">
        <v>121</v>
      </c>
      <c r="M57" t="s">
        <v>122</v>
      </c>
      <c r="N57" t="s">
        <v>123</v>
      </c>
      <c r="O57" t="s">
        <v>124</v>
      </c>
    </row>
    <row r="58" spans="1:15" x14ac:dyDescent="0.45">
      <c r="A58">
        <f t="shared" si="0"/>
        <v>57</v>
      </c>
      <c r="B58" s="14">
        <v>43153</v>
      </c>
      <c r="C58" s="14">
        <f>EOMONTH(tbl_GLSalesDetail[[#This Row],[Date]],-1)+1</f>
        <v>43132</v>
      </c>
      <c r="D58" s="17">
        <v>1001</v>
      </c>
      <c r="E58" t="s">
        <v>155</v>
      </c>
      <c r="F58" t="s">
        <v>117</v>
      </c>
      <c r="G58" t="s">
        <v>156</v>
      </c>
      <c r="H58" t="s">
        <v>102</v>
      </c>
      <c r="I58" t="s">
        <v>161</v>
      </c>
      <c r="J58" s="18">
        <v>27820.925000000003</v>
      </c>
      <c r="K58" t="s">
        <v>97</v>
      </c>
      <c r="L58" t="s">
        <v>158</v>
      </c>
      <c r="M58" t="s">
        <v>159</v>
      </c>
      <c r="N58" t="s">
        <v>140</v>
      </c>
      <c r="O58" t="s">
        <v>141</v>
      </c>
    </row>
    <row r="59" spans="1:15" x14ac:dyDescent="0.45">
      <c r="A59">
        <f t="shared" si="0"/>
        <v>58</v>
      </c>
      <c r="B59" s="14">
        <v>43154</v>
      </c>
      <c r="C59" s="14">
        <f>EOMONTH(tbl_GLSalesDetail[[#This Row],[Date]],-1)+1</f>
        <v>43132</v>
      </c>
      <c r="D59" s="17">
        <v>1001</v>
      </c>
      <c r="E59" t="s">
        <v>92</v>
      </c>
      <c r="F59" t="s">
        <v>93</v>
      </c>
      <c r="G59" t="s">
        <v>94</v>
      </c>
      <c r="H59" t="s">
        <v>176</v>
      </c>
      <c r="I59" t="s">
        <v>177</v>
      </c>
      <c r="J59" s="18">
        <v>4866.6750000000002</v>
      </c>
      <c r="K59" t="s">
        <v>145</v>
      </c>
      <c r="L59" t="s">
        <v>98</v>
      </c>
      <c r="M59" t="s">
        <v>99</v>
      </c>
      <c r="N59" t="s">
        <v>100</v>
      </c>
      <c r="O59" t="s">
        <v>101</v>
      </c>
    </row>
    <row r="60" spans="1:15" x14ac:dyDescent="0.45">
      <c r="A60">
        <f t="shared" si="0"/>
        <v>59</v>
      </c>
      <c r="B60" s="14">
        <v>43154</v>
      </c>
      <c r="C60" s="14">
        <f>EOMONTH(tbl_GLSalesDetail[[#This Row],[Date]],-1)+1</f>
        <v>43132</v>
      </c>
      <c r="D60" s="17">
        <v>1001</v>
      </c>
      <c r="E60" t="s">
        <v>92</v>
      </c>
      <c r="F60" t="s">
        <v>93</v>
      </c>
      <c r="G60" t="s">
        <v>94</v>
      </c>
      <c r="H60" t="s">
        <v>176</v>
      </c>
      <c r="I60" t="s">
        <v>177</v>
      </c>
      <c r="J60" s="18">
        <v>25460.050000000003</v>
      </c>
      <c r="K60" t="s">
        <v>97</v>
      </c>
      <c r="L60" t="s">
        <v>98</v>
      </c>
      <c r="M60" t="s">
        <v>99</v>
      </c>
      <c r="N60" t="s">
        <v>100</v>
      </c>
      <c r="O60" t="s">
        <v>101</v>
      </c>
    </row>
    <row r="61" spans="1:15" x14ac:dyDescent="0.45">
      <c r="A61">
        <f t="shared" si="0"/>
        <v>60</v>
      </c>
      <c r="B61" s="14">
        <v>43154</v>
      </c>
      <c r="C61" s="14">
        <f>EOMONTH(tbl_GLSalesDetail[[#This Row],[Date]],-1)+1</f>
        <v>43132</v>
      </c>
      <c r="D61" s="17">
        <v>1002</v>
      </c>
      <c r="E61" t="s">
        <v>92</v>
      </c>
      <c r="F61" t="s">
        <v>93</v>
      </c>
      <c r="G61" t="s">
        <v>94</v>
      </c>
      <c r="H61" t="s">
        <v>176</v>
      </c>
      <c r="I61" t="s">
        <v>177</v>
      </c>
      <c r="J61" s="18">
        <v>36193.85</v>
      </c>
      <c r="K61" t="s">
        <v>104</v>
      </c>
      <c r="L61" t="s">
        <v>98</v>
      </c>
      <c r="M61" t="s">
        <v>99</v>
      </c>
      <c r="N61" t="s">
        <v>100</v>
      </c>
      <c r="O61" t="s">
        <v>101</v>
      </c>
    </row>
    <row r="62" spans="1:15" x14ac:dyDescent="0.45">
      <c r="A62">
        <f t="shared" si="0"/>
        <v>61</v>
      </c>
      <c r="B62" s="14">
        <v>43160</v>
      </c>
      <c r="C62" s="14">
        <f>EOMONTH(tbl_GLSalesDetail[[#This Row],[Date]],-1)+1</f>
        <v>43160</v>
      </c>
      <c r="D62" s="17">
        <v>1002</v>
      </c>
      <c r="E62" t="s">
        <v>155</v>
      </c>
      <c r="F62" t="s">
        <v>117</v>
      </c>
      <c r="G62" t="s">
        <v>156</v>
      </c>
      <c r="H62" t="s">
        <v>114</v>
      </c>
      <c r="I62" t="s">
        <v>115</v>
      </c>
      <c r="J62" s="18">
        <v>32159.325000000001</v>
      </c>
      <c r="K62" t="s">
        <v>104</v>
      </c>
      <c r="L62" t="s">
        <v>158</v>
      </c>
      <c r="M62" t="s">
        <v>159</v>
      </c>
      <c r="N62" t="s">
        <v>140</v>
      </c>
      <c r="O62" t="s">
        <v>141</v>
      </c>
    </row>
    <row r="63" spans="1:15" x14ac:dyDescent="0.45">
      <c r="A63">
        <f t="shared" si="0"/>
        <v>62</v>
      </c>
      <c r="B63" s="14">
        <v>43163</v>
      </c>
      <c r="C63" s="14">
        <f>EOMONTH(tbl_GLSalesDetail[[#This Row],[Date]],-1)+1</f>
        <v>43160</v>
      </c>
      <c r="D63" s="17">
        <v>1001</v>
      </c>
      <c r="E63" t="s">
        <v>155</v>
      </c>
      <c r="F63" t="s">
        <v>117</v>
      </c>
      <c r="G63" t="s">
        <v>156</v>
      </c>
      <c r="H63" t="s">
        <v>119</v>
      </c>
      <c r="I63" t="s">
        <v>133</v>
      </c>
      <c r="J63" s="18">
        <v>32570.725000000002</v>
      </c>
      <c r="K63" t="s">
        <v>145</v>
      </c>
      <c r="L63" t="s">
        <v>158</v>
      </c>
      <c r="M63" t="s">
        <v>159</v>
      </c>
      <c r="N63" t="s">
        <v>140</v>
      </c>
      <c r="O63" t="s">
        <v>141</v>
      </c>
    </row>
    <row r="64" spans="1:15" x14ac:dyDescent="0.45">
      <c r="A64">
        <f t="shared" si="0"/>
        <v>63</v>
      </c>
      <c r="B64" s="14">
        <v>43163</v>
      </c>
      <c r="C64" s="14">
        <f>EOMONTH(tbl_GLSalesDetail[[#This Row],[Date]],-1)+1</f>
        <v>43160</v>
      </c>
      <c r="D64" s="17">
        <v>1002</v>
      </c>
      <c r="E64" t="s">
        <v>155</v>
      </c>
      <c r="F64" t="s">
        <v>117</v>
      </c>
      <c r="G64" t="s">
        <v>156</v>
      </c>
      <c r="H64" t="s">
        <v>114</v>
      </c>
      <c r="I64" t="s">
        <v>115</v>
      </c>
      <c r="J64" s="18">
        <v>1332.375</v>
      </c>
      <c r="K64" t="s">
        <v>104</v>
      </c>
      <c r="L64" t="s">
        <v>158</v>
      </c>
      <c r="M64" t="s">
        <v>159</v>
      </c>
      <c r="N64" t="s">
        <v>140</v>
      </c>
      <c r="O64" t="s">
        <v>141</v>
      </c>
    </row>
    <row r="65" spans="1:15" x14ac:dyDescent="0.45">
      <c r="A65">
        <f t="shared" si="0"/>
        <v>64</v>
      </c>
      <c r="B65" s="14">
        <v>43165</v>
      </c>
      <c r="C65" s="14">
        <f>EOMONTH(tbl_GLSalesDetail[[#This Row],[Date]],-1)+1</f>
        <v>43160</v>
      </c>
      <c r="D65" s="17">
        <v>1001</v>
      </c>
      <c r="E65" t="s">
        <v>116</v>
      </c>
      <c r="F65" t="s">
        <v>117</v>
      </c>
      <c r="G65" t="s">
        <v>118</v>
      </c>
      <c r="H65" t="s">
        <v>178</v>
      </c>
      <c r="I65" t="s">
        <v>179</v>
      </c>
      <c r="J65" s="18">
        <v>2370.2249999999999</v>
      </c>
      <c r="K65" t="s">
        <v>145</v>
      </c>
      <c r="L65" t="s">
        <v>121</v>
      </c>
      <c r="M65" t="s">
        <v>122</v>
      </c>
      <c r="N65" t="s">
        <v>123</v>
      </c>
      <c r="O65" t="s">
        <v>124</v>
      </c>
    </row>
    <row r="66" spans="1:15" x14ac:dyDescent="0.45">
      <c r="A66">
        <f t="shared" ref="A66:A129" si="1">ROW()-1</f>
        <v>65</v>
      </c>
      <c r="B66" s="14">
        <v>43165</v>
      </c>
      <c r="C66" s="14">
        <f>EOMONTH(tbl_GLSalesDetail[[#This Row],[Date]],-1)+1</f>
        <v>43160</v>
      </c>
      <c r="D66" s="17">
        <v>1001</v>
      </c>
      <c r="E66" t="s">
        <v>116</v>
      </c>
      <c r="F66" t="s">
        <v>117</v>
      </c>
      <c r="G66" t="s">
        <v>118</v>
      </c>
      <c r="H66" t="s">
        <v>178</v>
      </c>
      <c r="I66" t="s">
        <v>179</v>
      </c>
      <c r="J66" s="18">
        <v>30303.350000000002</v>
      </c>
      <c r="K66" t="s">
        <v>97</v>
      </c>
      <c r="L66" t="s">
        <v>121</v>
      </c>
      <c r="M66" t="s">
        <v>122</v>
      </c>
      <c r="N66" t="s">
        <v>123</v>
      </c>
      <c r="O66" t="s">
        <v>124</v>
      </c>
    </row>
    <row r="67" spans="1:15" x14ac:dyDescent="0.45">
      <c r="A67">
        <f t="shared" si="1"/>
        <v>66</v>
      </c>
      <c r="B67" s="14">
        <v>43165</v>
      </c>
      <c r="C67" s="14">
        <f>EOMONTH(tbl_GLSalesDetail[[#This Row],[Date]],-1)+1</f>
        <v>43160</v>
      </c>
      <c r="D67" s="17">
        <v>1001</v>
      </c>
      <c r="E67" t="s">
        <v>92</v>
      </c>
      <c r="F67" t="s">
        <v>93</v>
      </c>
      <c r="G67" t="s">
        <v>94</v>
      </c>
      <c r="H67" t="s">
        <v>134</v>
      </c>
      <c r="I67" t="s">
        <v>135</v>
      </c>
      <c r="J67" s="18">
        <v>45707.475000000006</v>
      </c>
      <c r="K67" t="s">
        <v>97</v>
      </c>
      <c r="L67" t="s">
        <v>98</v>
      </c>
      <c r="M67" t="s">
        <v>99</v>
      </c>
      <c r="N67" t="s">
        <v>100</v>
      </c>
      <c r="O67" t="s">
        <v>101</v>
      </c>
    </row>
    <row r="68" spans="1:15" x14ac:dyDescent="0.45">
      <c r="A68">
        <f t="shared" si="1"/>
        <v>67</v>
      </c>
      <c r="B68" s="14">
        <v>43165</v>
      </c>
      <c r="C68" s="14">
        <f>EOMONTH(tbl_GLSalesDetail[[#This Row],[Date]],-1)+1</f>
        <v>43160</v>
      </c>
      <c r="D68" s="17">
        <v>1002</v>
      </c>
      <c r="E68" t="s">
        <v>116</v>
      </c>
      <c r="F68" t="s">
        <v>117</v>
      </c>
      <c r="G68" t="s">
        <v>118</v>
      </c>
      <c r="H68" t="s">
        <v>178</v>
      </c>
      <c r="I68" t="s">
        <v>179</v>
      </c>
      <c r="J68" s="18">
        <v>32439.825000000001</v>
      </c>
      <c r="K68" t="s">
        <v>104</v>
      </c>
      <c r="L68" t="s">
        <v>121</v>
      </c>
      <c r="M68" t="s">
        <v>122</v>
      </c>
      <c r="N68" t="s">
        <v>123</v>
      </c>
      <c r="O68" t="s">
        <v>124</v>
      </c>
    </row>
    <row r="69" spans="1:15" x14ac:dyDescent="0.45">
      <c r="A69">
        <f t="shared" si="1"/>
        <v>68</v>
      </c>
      <c r="B69" s="14">
        <v>43169</v>
      </c>
      <c r="C69" s="14">
        <f>EOMONTH(tbl_GLSalesDetail[[#This Row],[Date]],-1)+1</f>
        <v>43160</v>
      </c>
      <c r="D69" s="17">
        <v>1001</v>
      </c>
      <c r="E69" t="s">
        <v>146</v>
      </c>
      <c r="F69" t="s">
        <v>147</v>
      </c>
      <c r="G69" t="s">
        <v>180</v>
      </c>
      <c r="H69" t="s">
        <v>102</v>
      </c>
      <c r="I69" t="s">
        <v>161</v>
      </c>
      <c r="J69" s="18">
        <v>45936.55</v>
      </c>
      <c r="K69" t="s">
        <v>145</v>
      </c>
      <c r="L69" t="s">
        <v>181</v>
      </c>
      <c r="M69" t="s">
        <v>182</v>
      </c>
      <c r="N69" t="s">
        <v>183</v>
      </c>
      <c r="O69" t="s">
        <v>184</v>
      </c>
    </row>
    <row r="70" spans="1:15" x14ac:dyDescent="0.45">
      <c r="A70">
        <f t="shared" si="1"/>
        <v>69</v>
      </c>
      <c r="B70" s="14">
        <v>43169</v>
      </c>
      <c r="C70" s="14">
        <f>EOMONTH(tbl_GLSalesDetail[[#This Row],[Date]],-1)+1</f>
        <v>43160</v>
      </c>
      <c r="D70" s="17">
        <v>1001</v>
      </c>
      <c r="E70" t="s">
        <v>146</v>
      </c>
      <c r="F70" t="s">
        <v>147</v>
      </c>
      <c r="G70" t="s">
        <v>180</v>
      </c>
      <c r="H70" t="s">
        <v>102</v>
      </c>
      <c r="I70" t="s">
        <v>161</v>
      </c>
      <c r="J70" s="18">
        <v>39536.475000000006</v>
      </c>
      <c r="K70" t="s">
        <v>145</v>
      </c>
      <c r="L70" t="s">
        <v>181</v>
      </c>
      <c r="M70" t="s">
        <v>182</v>
      </c>
      <c r="N70" t="s">
        <v>183</v>
      </c>
      <c r="O70" t="s">
        <v>184</v>
      </c>
    </row>
    <row r="71" spans="1:15" x14ac:dyDescent="0.45">
      <c r="A71">
        <f t="shared" si="1"/>
        <v>70</v>
      </c>
      <c r="B71" s="14">
        <v>43169</v>
      </c>
      <c r="C71" s="14">
        <f>EOMONTH(tbl_GLSalesDetail[[#This Row],[Date]],-1)+1</f>
        <v>43160</v>
      </c>
      <c r="D71" s="17">
        <v>1002</v>
      </c>
      <c r="E71" t="s">
        <v>146</v>
      </c>
      <c r="F71" t="s">
        <v>147</v>
      </c>
      <c r="G71" t="s">
        <v>180</v>
      </c>
      <c r="H71" t="s">
        <v>102</v>
      </c>
      <c r="I71" t="s">
        <v>161</v>
      </c>
      <c r="J71" s="18">
        <v>18704.674999999999</v>
      </c>
      <c r="K71" t="s">
        <v>104</v>
      </c>
      <c r="L71" t="s">
        <v>181</v>
      </c>
      <c r="M71" t="s">
        <v>182</v>
      </c>
      <c r="N71" t="s">
        <v>183</v>
      </c>
      <c r="O71" t="s">
        <v>184</v>
      </c>
    </row>
    <row r="72" spans="1:15" x14ac:dyDescent="0.45">
      <c r="A72">
        <f t="shared" si="1"/>
        <v>71</v>
      </c>
      <c r="B72" s="14">
        <v>43172</v>
      </c>
      <c r="C72" s="14">
        <f>EOMONTH(tbl_GLSalesDetail[[#This Row],[Date]],-1)+1</f>
        <v>43160</v>
      </c>
      <c r="D72" s="17">
        <v>1001</v>
      </c>
      <c r="E72" t="s">
        <v>105</v>
      </c>
      <c r="F72" t="s">
        <v>106</v>
      </c>
      <c r="G72" t="s">
        <v>107</v>
      </c>
      <c r="H72" t="s">
        <v>102</v>
      </c>
      <c r="I72" t="s">
        <v>160</v>
      </c>
      <c r="J72" s="18">
        <v>43734.625</v>
      </c>
      <c r="K72" t="s">
        <v>97</v>
      </c>
      <c r="L72" t="s">
        <v>110</v>
      </c>
      <c r="M72" t="s">
        <v>111</v>
      </c>
      <c r="N72" t="s">
        <v>112</v>
      </c>
      <c r="O72" t="s">
        <v>113</v>
      </c>
    </row>
    <row r="73" spans="1:15" x14ac:dyDescent="0.45">
      <c r="A73">
        <f t="shared" si="1"/>
        <v>72</v>
      </c>
      <c r="B73" s="14">
        <v>43173</v>
      </c>
      <c r="C73" s="14">
        <f>EOMONTH(tbl_GLSalesDetail[[#This Row],[Date]],-1)+1</f>
        <v>43160</v>
      </c>
      <c r="D73" s="17">
        <v>1002</v>
      </c>
      <c r="E73" t="s">
        <v>105</v>
      </c>
      <c r="F73" t="s">
        <v>106</v>
      </c>
      <c r="G73" t="s">
        <v>107</v>
      </c>
      <c r="H73" t="s">
        <v>108</v>
      </c>
      <c r="I73" t="s">
        <v>109</v>
      </c>
      <c r="J73" s="18">
        <v>31682.475000000002</v>
      </c>
      <c r="K73" t="s">
        <v>104</v>
      </c>
      <c r="L73" t="s">
        <v>110</v>
      </c>
      <c r="M73" t="s">
        <v>111</v>
      </c>
      <c r="N73" t="s">
        <v>112</v>
      </c>
      <c r="O73" t="s">
        <v>113</v>
      </c>
    </row>
    <row r="74" spans="1:15" x14ac:dyDescent="0.45">
      <c r="A74">
        <f t="shared" si="1"/>
        <v>73</v>
      </c>
      <c r="B74" s="14">
        <v>43173</v>
      </c>
      <c r="C74" s="14">
        <f>EOMONTH(tbl_GLSalesDetail[[#This Row],[Date]],-1)+1</f>
        <v>43160</v>
      </c>
      <c r="D74" s="17">
        <v>1002</v>
      </c>
      <c r="E74" t="s">
        <v>105</v>
      </c>
      <c r="F74" t="s">
        <v>106</v>
      </c>
      <c r="G74" t="s">
        <v>107</v>
      </c>
      <c r="H74" t="s">
        <v>176</v>
      </c>
      <c r="I74" t="s">
        <v>177</v>
      </c>
      <c r="J74" s="18">
        <v>8620.7000000000007</v>
      </c>
      <c r="K74" t="s">
        <v>104</v>
      </c>
      <c r="L74" t="s">
        <v>110</v>
      </c>
      <c r="M74" t="s">
        <v>111</v>
      </c>
      <c r="N74" t="s">
        <v>112</v>
      </c>
      <c r="O74" t="s">
        <v>113</v>
      </c>
    </row>
    <row r="75" spans="1:15" x14ac:dyDescent="0.45">
      <c r="A75">
        <f t="shared" si="1"/>
        <v>74</v>
      </c>
      <c r="B75" s="14">
        <v>43175</v>
      </c>
      <c r="C75" s="14">
        <f>EOMONTH(tbl_GLSalesDetail[[#This Row],[Date]],-1)+1</f>
        <v>43160</v>
      </c>
      <c r="D75" s="17">
        <v>1001</v>
      </c>
      <c r="E75" t="s">
        <v>116</v>
      </c>
      <c r="F75" t="s">
        <v>117</v>
      </c>
      <c r="G75" t="s">
        <v>118</v>
      </c>
      <c r="H75" t="s">
        <v>169</v>
      </c>
      <c r="I75" t="s">
        <v>170</v>
      </c>
      <c r="J75" s="18">
        <v>5614.6750000000002</v>
      </c>
      <c r="K75" t="s">
        <v>97</v>
      </c>
      <c r="L75" t="s">
        <v>121</v>
      </c>
      <c r="M75" t="s">
        <v>122</v>
      </c>
      <c r="N75" t="s">
        <v>123</v>
      </c>
      <c r="O75" t="s">
        <v>124</v>
      </c>
    </row>
    <row r="76" spans="1:15" x14ac:dyDescent="0.45">
      <c r="A76">
        <f t="shared" si="1"/>
        <v>75</v>
      </c>
      <c r="B76" s="14">
        <v>43176</v>
      </c>
      <c r="C76" s="14">
        <f>EOMONTH(tbl_GLSalesDetail[[#This Row],[Date]],-1)+1</f>
        <v>43160</v>
      </c>
      <c r="D76" s="17">
        <v>1001</v>
      </c>
      <c r="E76" t="s">
        <v>136</v>
      </c>
      <c r="F76" t="s">
        <v>106</v>
      </c>
      <c r="G76" t="s">
        <v>137</v>
      </c>
      <c r="H76" t="s">
        <v>127</v>
      </c>
      <c r="I76" t="s">
        <v>128</v>
      </c>
      <c r="J76" s="18">
        <v>43846.825000000004</v>
      </c>
      <c r="K76" t="s">
        <v>145</v>
      </c>
      <c r="L76" t="s">
        <v>138</v>
      </c>
      <c r="M76" t="s">
        <v>139</v>
      </c>
      <c r="N76" t="s">
        <v>140</v>
      </c>
      <c r="O76" t="s">
        <v>141</v>
      </c>
    </row>
    <row r="77" spans="1:15" x14ac:dyDescent="0.45">
      <c r="A77">
        <f t="shared" si="1"/>
        <v>76</v>
      </c>
      <c r="B77" s="14">
        <v>43176</v>
      </c>
      <c r="C77" s="14">
        <f>EOMONTH(tbl_GLSalesDetail[[#This Row],[Date]],-1)+1</f>
        <v>43160</v>
      </c>
      <c r="D77" s="17">
        <v>1001</v>
      </c>
      <c r="E77" t="s">
        <v>92</v>
      </c>
      <c r="F77" t="s">
        <v>93</v>
      </c>
      <c r="G77" t="s">
        <v>94</v>
      </c>
      <c r="H77" t="s">
        <v>142</v>
      </c>
      <c r="I77" t="s">
        <v>143</v>
      </c>
      <c r="J77" s="18">
        <v>158.95000000000002</v>
      </c>
      <c r="K77" t="s">
        <v>97</v>
      </c>
      <c r="L77" t="s">
        <v>98</v>
      </c>
      <c r="M77" t="s">
        <v>99</v>
      </c>
      <c r="N77" t="s">
        <v>100</v>
      </c>
      <c r="O77" t="s">
        <v>101</v>
      </c>
    </row>
    <row r="78" spans="1:15" x14ac:dyDescent="0.45">
      <c r="A78">
        <f t="shared" si="1"/>
        <v>77</v>
      </c>
      <c r="B78" s="14">
        <v>43176</v>
      </c>
      <c r="C78" s="14">
        <f>EOMONTH(tbl_GLSalesDetail[[#This Row],[Date]],-1)+1</f>
        <v>43160</v>
      </c>
      <c r="D78" s="17">
        <v>1002</v>
      </c>
      <c r="E78" t="s">
        <v>92</v>
      </c>
      <c r="F78" t="s">
        <v>93</v>
      </c>
      <c r="G78" t="s">
        <v>94</v>
      </c>
      <c r="H78" t="s">
        <v>114</v>
      </c>
      <c r="I78" t="s">
        <v>115</v>
      </c>
      <c r="J78" s="18">
        <v>40527.575000000004</v>
      </c>
      <c r="K78" t="s">
        <v>104</v>
      </c>
      <c r="L78" t="s">
        <v>98</v>
      </c>
      <c r="M78" t="s">
        <v>99</v>
      </c>
      <c r="N78" t="s">
        <v>100</v>
      </c>
      <c r="O78" t="s">
        <v>101</v>
      </c>
    </row>
    <row r="79" spans="1:15" x14ac:dyDescent="0.45">
      <c r="A79">
        <f t="shared" si="1"/>
        <v>78</v>
      </c>
      <c r="B79" s="14">
        <v>43178</v>
      </c>
      <c r="C79" s="14">
        <f>EOMONTH(tbl_GLSalesDetail[[#This Row],[Date]],-1)+1</f>
        <v>43160</v>
      </c>
      <c r="D79" s="17">
        <v>1002</v>
      </c>
      <c r="E79" t="s">
        <v>125</v>
      </c>
      <c r="F79" t="s">
        <v>93</v>
      </c>
      <c r="G79" t="s">
        <v>126</v>
      </c>
      <c r="H79" t="s">
        <v>163</v>
      </c>
      <c r="I79" t="s">
        <v>185</v>
      </c>
      <c r="J79" s="18">
        <v>1640.9250000000002</v>
      </c>
      <c r="K79" t="s">
        <v>104</v>
      </c>
      <c r="L79" t="s">
        <v>129</v>
      </c>
      <c r="M79" t="s">
        <v>130</v>
      </c>
      <c r="N79" t="s">
        <v>131</v>
      </c>
      <c r="O79" t="s">
        <v>132</v>
      </c>
    </row>
    <row r="80" spans="1:15" x14ac:dyDescent="0.45">
      <c r="A80">
        <f t="shared" si="1"/>
        <v>79</v>
      </c>
      <c r="B80" s="14">
        <v>43179</v>
      </c>
      <c r="C80" s="14">
        <f>EOMONTH(tbl_GLSalesDetail[[#This Row],[Date]],-1)+1</f>
        <v>43160</v>
      </c>
      <c r="D80" s="17">
        <v>1001</v>
      </c>
      <c r="E80" t="s">
        <v>125</v>
      </c>
      <c r="F80" t="s">
        <v>93</v>
      </c>
      <c r="G80" t="s">
        <v>126</v>
      </c>
      <c r="H80" t="s">
        <v>169</v>
      </c>
      <c r="I80" t="s">
        <v>170</v>
      </c>
      <c r="J80" s="18">
        <v>16984.275000000001</v>
      </c>
      <c r="K80" t="s">
        <v>97</v>
      </c>
      <c r="L80" t="s">
        <v>129</v>
      </c>
      <c r="M80" t="s">
        <v>130</v>
      </c>
      <c r="N80" t="s">
        <v>131</v>
      </c>
      <c r="O80" t="s">
        <v>132</v>
      </c>
    </row>
    <row r="81" spans="1:15" x14ac:dyDescent="0.45">
      <c r="A81">
        <f t="shared" si="1"/>
        <v>80</v>
      </c>
      <c r="B81" s="14">
        <v>43179</v>
      </c>
      <c r="C81" s="14">
        <f>EOMONTH(tbl_GLSalesDetail[[#This Row],[Date]],-1)+1</f>
        <v>43160</v>
      </c>
      <c r="D81" s="17">
        <v>1002</v>
      </c>
      <c r="E81" t="s">
        <v>125</v>
      </c>
      <c r="F81" t="s">
        <v>93</v>
      </c>
      <c r="G81" t="s">
        <v>126</v>
      </c>
      <c r="H81" t="s">
        <v>102</v>
      </c>
      <c r="I81" t="s">
        <v>160</v>
      </c>
      <c r="J81" s="18">
        <v>45445.675000000003</v>
      </c>
      <c r="K81" t="s">
        <v>104</v>
      </c>
      <c r="L81" t="s">
        <v>129</v>
      </c>
      <c r="M81" t="s">
        <v>130</v>
      </c>
      <c r="N81" t="s">
        <v>131</v>
      </c>
      <c r="O81" t="s">
        <v>132</v>
      </c>
    </row>
    <row r="82" spans="1:15" x14ac:dyDescent="0.45">
      <c r="A82">
        <f t="shared" si="1"/>
        <v>81</v>
      </c>
      <c r="B82" s="14">
        <v>43181</v>
      </c>
      <c r="C82" s="14">
        <f>EOMONTH(tbl_GLSalesDetail[[#This Row],[Date]],-1)+1</f>
        <v>43160</v>
      </c>
      <c r="D82" s="17">
        <v>1001</v>
      </c>
      <c r="E82" t="s">
        <v>136</v>
      </c>
      <c r="F82" t="s">
        <v>106</v>
      </c>
      <c r="G82" t="s">
        <v>162</v>
      </c>
      <c r="H82" t="s">
        <v>95</v>
      </c>
      <c r="I82" t="s">
        <v>96</v>
      </c>
      <c r="J82" s="18">
        <v>28531.525000000001</v>
      </c>
      <c r="K82" t="s">
        <v>145</v>
      </c>
      <c r="L82" t="s">
        <v>165</v>
      </c>
      <c r="M82" t="s">
        <v>166</v>
      </c>
      <c r="N82" t="s">
        <v>167</v>
      </c>
      <c r="O82" t="s">
        <v>168</v>
      </c>
    </row>
    <row r="83" spans="1:15" x14ac:dyDescent="0.45">
      <c r="A83">
        <f t="shared" si="1"/>
        <v>82</v>
      </c>
      <c r="B83" s="14">
        <v>43181</v>
      </c>
      <c r="C83" s="14">
        <f>EOMONTH(tbl_GLSalesDetail[[#This Row],[Date]],-1)+1</f>
        <v>43160</v>
      </c>
      <c r="D83" s="17">
        <v>1001</v>
      </c>
      <c r="E83" t="s">
        <v>136</v>
      </c>
      <c r="F83" t="s">
        <v>106</v>
      </c>
      <c r="G83" t="s">
        <v>162</v>
      </c>
      <c r="H83" t="s">
        <v>95</v>
      </c>
      <c r="I83" t="s">
        <v>96</v>
      </c>
      <c r="J83" s="18">
        <v>15684.625</v>
      </c>
      <c r="K83" t="s">
        <v>97</v>
      </c>
      <c r="L83" t="s">
        <v>165</v>
      </c>
      <c r="M83" t="s">
        <v>166</v>
      </c>
      <c r="N83" t="s">
        <v>167</v>
      </c>
      <c r="O83" t="s">
        <v>168</v>
      </c>
    </row>
    <row r="84" spans="1:15" x14ac:dyDescent="0.45">
      <c r="A84">
        <f t="shared" si="1"/>
        <v>83</v>
      </c>
      <c r="B84" s="14">
        <v>43181</v>
      </c>
      <c r="C84" s="14">
        <f>EOMONTH(tbl_GLSalesDetail[[#This Row],[Date]],-1)+1</f>
        <v>43160</v>
      </c>
      <c r="D84" s="17">
        <v>1002</v>
      </c>
      <c r="E84" t="s">
        <v>136</v>
      </c>
      <c r="F84" t="s">
        <v>106</v>
      </c>
      <c r="G84" t="s">
        <v>162</v>
      </c>
      <c r="H84" t="s">
        <v>95</v>
      </c>
      <c r="I84" t="s">
        <v>96</v>
      </c>
      <c r="J84" s="18">
        <v>9181.7000000000007</v>
      </c>
      <c r="K84" t="s">
        <v>104</v>
      </c>
      <c r="L84" t="s">
        <v>165</v>
      </c>
      <c r="M84" t="s">
        <v>166</v>
      </c>
      <c r="N84" t="s">
        <v>167</v>
      </c>
      <c r="O84" t="s">
        <v>168</v>
      </c>
    </row>
    <row r="85" spans="1:15" x14ac:dyDescent="0.45">
      <c r="A85">
        <f t="shared" si="1"/>
        <v>84</v>
      </c>
      <c r="B85" s="14">
        <v>43183</v>
      </c>
      <c r="C85" s="14">
        <f>EOMONTH(tbl_GLSalesDetail[[#This Row],[Date]],-1)+1</f>
        <v>43160</v>
      </c>
      <c r="D85" s="17">
        <v>1001</v>
      </c>
      <c r="E85" t="s">
        <v>125</v>
      </c>
      <c r="F85" t="s">
        <v>93</v>
      </c>
      <c r="G85" t="s">
        <v>126</v>
      </c>
      <c r="H85" t="s">
        <v>102</v>
      </c>
      <c r="I85" t="s">
        <v>144</v>
      </c>
      <c r="J85" s="18">
        <v>35983.474999999999</v>
      </c>
      <c r="K85" t="s">
        <v>145</v>
      </c>
      <c r="L85" t="s">
        <v>129</v>
      </c>
      <c r="M85" t="s">
        <v>130</v>
      </c>
      <c r="N85" t="s">
        <v>131</v>
      </c>
      <c r="O85" t="s">
        <v>132</v>
      </c>
    </row>
    <row r="86" spans="1:15" x14ac:dyDescent="0.45">
      <c r="A86">
        <f t="shared" si="1"/>
        <v>85</v>
      </c>
      <c r="B86" s="14">
        <v>43183</v>
      </c>
      <c r="C86" s="14">
        <f>EOMONTH(tbl_GLSalesDetail[[#This Row],[Date]],-1)+1</f>
        <v>43160</v>
      </c>
      <c r="D86" s="17">
        <v>1001</v>
      </c>
      <c r="E86" t="s">
        <v>125</v>
      </c>
      <c r="F86" t="s">
        <v>93</v>
      </c>
      <c r="G86" t="s">
        <v>126</v>
      </c>
      <c r="H86" t="s">
        <v>169</v>
      </c>
      <c r="I86" t="s">
        <v>186</v>
      </c>
      <c r="J86" s="18">
        <v>23763.025000000001</v>
      </c>
      <c r="K86" t="s">
        <v>145</v>
      </c>
      <c r="L86" t="s">
        <v>129</v>
      </c>
      <c r="M86" t="s">
        <v>130</v>
      </c>
      <c r="N86" t="s">
        <v>131</v>
      </c>
      <c r="O86" t="s">
        <v>132</v>
      </c>
    </row>
    <row r="87" spans="1:15" x14ac:dyDescent="0.45">
      <c r="A87">
        <f t="shared" si="1"/>
        <v>86</v>
      </c>
      <c r="B87" s="14">
        <v>43183</v>
      </c>
      <c r="C87" s="14">
        <f>EOMONTH(tbl_GLSalesDetail[[#This Row],[Date]],-1)+1</f>
        <v>43160</v>
      </c>
      <c r="D87" s="17">
        <v>1001</v>
      </c>
      <c r="E87" t="s">
        <v>125</v>
      </c>
      <c r="F87" t="s">
        <v>93</v>
      </c>
      <c r="G87" t="s">
        <v>126</v>
      </c>
      <c r="H87" t="s">
        <v>102</v>
      </c>
      <c r="I87" t="s">
        <v>144</v>
      </c>
      <c r="J87" s="18">
        <v>18601.825000000001</v>
      </c>
      <c r="K87" t="s">
        <v>145</v>
      </c>
      <c r="L87" t="s">
        <v>129</v>
      </c>
      <c r="M87" t="s">
        <v>130</v>
      </c>
      <c r="N87" t="s">
        <v>131</v>
      </c>
      <c r="O87" t="s">
        <v>132</v>
      </c>
    </row>
    <row r="88" spans="1:15" x14ac:dyDescent="0.45">
      <c r="A88">
        <f t="shared" si="1"/>
        <v>87</v>
      </c>
      <c r="B88" s="14">
        <v>43183</v>
      </c>
      <c r="C88" s="14">
        <f>EOMONTH(tbl_GLSalesDetail[[#This Row],[Date]],-1)+1</f>
        <v>43160</v>
      </c>
      <c r="D88" s="17">
        <v>1001</v>
      </c>
      <c r="E88" t="s">
        <v>125</v>
      </c>
      <c r="F88" t="s">
        <v>93</v>
      </c>
      <c r="G88" t="s">
        <v>126</v>
      </c>
      <c r="H88" t="s">
        <v>119</v>
      </c>
      <c r="I88" t="s">
        <v>133</v>
      </c>
      <c r="J88" s="18">
        <v>17592.025000000001</v>
      </c>
      <c r="K88" t="s">
        <v>145</v>
      </c>
      <c r="L88" t="s">
        <v>129</v>
      </c>
      <c r="M88" t="s">
        <v>130</v>
      </c>
      <c r="N88" t="s">
        <v>131</v>
      </c>
      <c r="O88" t="s">
        <v>132</v>
      </c>
    </row>
    <row r="89" spans="1:15" x14ac:dyDescent="0.45">
      <c r="A89">
        <f t="shared" si="1"/>
        <v>88</v>
      </c>
      <c r="B89" s="14">
        <v>43183</v>
      </c>
      <c r="C89" s="14">
        <f>EOMONTH(tbl_GLSalesDetail[[#This Row],[Date]],-1)+1</f>
        <v>43160</v>
      </c>
      <c r="D89" s="17">
        <v>1001</v>
      </c>
      <c r="E89" t="s">
        <v>125</v>
      </c>
      <c r="F89" t="s">
        <v>93</v>
      </c>
      <c r="G89" t="s">
        <v>126</v>
      </c>
      <c r="H89" t="s">
        <v>169</v>
      </c>
      <c r="I89" t="s">
        <v>186</v>
      </c>
      <c r="J89" s="18">
        <v>15792.150000000001</v>
      </c>
      <c r="K89" t="s">
        <v>145</v>
      </c>
      <c r="L89" t="s">
        <v>129</v>
      </c>
      <c r="M89" t="s">
        <v>130</v>
      </c>
      <c r="N89" t="s">
        <v>131</v>
      </c>
      <c r="O89" t="s">
        <v>132</v>
      </c>
    </row>
    <row r="90" spans="1:15" x14ac:dyDescent="0.45">
      <c r="A90">
        <f t="shared" si="1"/>
        <v>89</v>
      </c>
      <c r="B90" s="14">
        <v>43183</v>
      </c>
      <c r="C90" s="14">
        <f>EOMONTH(tbl_GLSalesDetail[[#This Row],[Date]],-1)+1</f>
        <v>43160</v>
      </c>
      <c r="D90" s="17">
        <v>1001</v>
      </c>
      <c r="E90" t="s">
        <v>125</v>
      </c>
      <c r="F90" t="s">
        <v>93</v>
      </c>
      <c r="G90" t="s">
        <v>126</v>
      </c>
      <c r="H90" t="s">
        <v>169</v>
      </c>
      <c r="I90" t="s">
        <v>186</v>
      </c>
      <c r="J90" s="18">
        <v>4296.3249999999998</v>
      </c>
      <c r="K90" t="s">
        <v>145</v>
      </c>
      <c r="L90" t="s">
        <v>129</v>
      </c>
      <c r="M90" t="s">
        <v>130</v>
      </c>
      <c r="N90" t="s">
        <v>131</v>
      </c>
      <c r="O90" t="s">
        <v>132</v>
      </c>
    </row>
    <row r="91" spans="1:15" x14ac:dyDescent="0.45">
      <c r="A91">
        <f t="shared" si="1"/>
        <v>90</v>
      </c>
      <c r="B91" s="14">
        <v>43183</v>
      </c>
      <c r="C91" s="14">
        <f>EOMONTH(tbl_GLSalesDetail[[#This Row],[Date]],-1)+1</f>
        <v>43160</v>
      </c>
      <c r="D91" s="17">
        <v>1001</v>
      </c>
      <c r="E91" t="s">
        <v>125</v>
      </c>
      <c r="F91" t="s">
        <v>93</v>
      </c>
      <c r="G91" t="s">
        <v>126</v>
      </c>
      <c r="H91" t="s">
        <v>163</v>
      </c>
      <c r="I91" t="s">
        <v>164</v>
      </c>
      <c r="J91" s="18">
        <v>822.80000000000007</v>
      </c>
      <c r="K91" t="s">
        <v>97</v>
      </c>
      <c r="L91" t="s">
        <v>129</v>
      </c>
      <c r="M91" t="s">
        <v>130</v>
      </c>
      <c r="N91" t="s">
        <v>131</v>
      </c>
      <c r="O91" t="s">
        <v>132</v>
      </c>
    </row>
    <row r="92" spans="1:15" x14ac:dyDescent="0.45">
      <c r="A92">
        <f t="shared" si="1"/>
        <v>91</v>
      </c>
      <c r="B92" s="14">
        <v>43183</v>
      </c>
      <c r="C92" s="14">
        <f>EOMONTH(tbl_GLSalesDetail[[#This Row],[Date]],-1)+1</f>
        <v>43160</v>
      </c>
      <c r="D92" s="17">
        <v>1001</v>
      </c>
      <c r="E92" t="s">
        <v>125</v>
      </c>
      <c r="F92" t="s">
        <v>93</v>
      </c>
      <c r="G92" t="s">
        <v>126</v>
      </c>
      <c r="H92" t="s">
        <v>163</v>
      </c>
      <c r="I92" t="s">
        <v>164</v>
      </c>
      <c r="J92" s="18">
        <v>20728.95</v>
      </c>
      <c r="K92" t="s">
        <v>97</v>
      </c>
      <c r="L92" t="s">
        <v>129</v>
      </c>
      <c r="M92" t="s">
        <v>130</v>
      </c>
      <c r="N92" t="s">
        <v>131</v>
      </c>
      <c r="O92" t="s">
        <v>132</v>
      </c>
    </row>
    <row r="93" spans="1:15" x14ac:dyDescent="0.45">
      <c r="A93">
        <f t="shared" si="1"/>
        <v>92</v>
      </c>
      <c r="B93" s="14">
        <v>43183</v>
      </c>
      <c r="C93" s="14">
        <f>EOMONTH(tbl_GLSalesDetail[[#This Row],[Date]],-1)+1</f>
        <v>43160</v>
      </c>
      <c r="D93" s="17">
        <v>1001</v>
      </c>
      <c r="E93" t="s">
        <v>125</v>
      </c>
      <c r="F93" t="s">
        <v>93</v>
      </c>
      <c r="G93" t="s">
        <v>126</v>
      </c>
      <c r="H93" t="s">
        <v>102</v>
      </c>
      <c r="I93" t="s">
        <v>144</v>
      </c>
      <c r="J93" s="18">
        <v>44936.100000000006</v>
      </c>
      <c r="K93" t="s">
        <v>97</v>
      </c>
      <c r="L93" t="s">
        <v>129</v>
      </c>
      <c r="M93" t="s">
        <v>130</v>
      </c>
      <c r="N93" t="s">
        <v>131</v>
      </c>
      <c r="O93" t="s">
        <v>132</v>
      </c>
    </row>
    <row r="94" spans="1:15" x14ac:dyDescent="0.45">
      <c r="A94">
        <f t="shared" si="1"/>
        <v>93</v>
      </c>
      <c r="B94" s="14">
        <v>43183</v>
      </c>
      <c r="C94" s="14">
        <f>EOMONTH(tbl_GLSalesDetail[[#This Row],[Date]],-1)+1</f>
        <v>43160</v>
      </c>
      <c r="D94" s="17">
        <v>1001</v>
      </c>
      <c r="E94" t="s">
        <v>125</v>
      </c>
      <c r="F94" t="s">
        <v>93</v>
      </c>
      <c r="G94" t="s">
        <v>126</v>
      </c>
      <c r="H94" t="s">
        <v>119</v>
      </c>
      <c r="I94" t="s">
        <v>133</v>
      </c>
      <c r="J94" s="18">
        <v>31289.775000000001</v>
      </c>
      <c r="K94" t="s">
        <v>97</v>
      </c>
      <c r="L94" t="s">
        <v>129</v>
      </c>
      <c r="M94" t="s">
        <v>130</v>
      </c>
      <c r="N94" t="s">
        <v>131</v>
      </c>
      <c r="O94" t="s">
        <v>132</v>
      </c>
    </row>
    <row r="95" spans="1:15" x14ac:dyDescent="0.45">
      <c r="A95">
        <f t="shared" si="1"/>
        <v>94</v>
      </c>
      <c r="B95" s="14">
        <v>43183</v>
      </c>
      <c r="C95" s="14">
        <f>EOMONTH(tbl_GLSalesDetail[[#This Row],[Date]],-1)+1</f>
        <v>43160</v>
      </c>
      <c r="D95" s="17">
        <v>1002</v>
      </c>
      <c r="E95" t="s">
        <v>125</v>
      </c>
      <c r="F95" t="s">
        <v>93</v>
      </c>
      <c r="G95" t="s">
        <v>126</v>
      </c>
      <c r="H95" t="s">
        <v>119</v>
      </c>
      <c r="I95" t="s">
        <v>133</v>
      </c>
      <c r="J95" s="18">
        <v>38970.800000000003</v>
      </c>
      <c r="K95" t="s">
        <v>104</v>
      </c>
      <c r="L95" t="s">
        <v>129</v>
      </c>
      <c r="M95" t="s">
        <v>130</v>
      </c>
      <c r="N95" t="s">
        <v>131</v>
      </c>
      <c r="O95" t="s">
        <v>132</v>
      </c>
    </row>
    <row r="96" spans="1:15" x14ac:dyDescent="0.45">
      <c r="A96">
        <f t="shared" si="1"/>
        <v>95</v>
      </c>
      <c r="B96" s="14">
        <v>43183</v>
      </c>
      <c r="C96" s="14">
        <f>EOMONTH(tbl_GLSalesDetail[[#This Row],[Date]],-1)+1</f>
        <v>43160</v>
      </c>
      <c r="D96" s="17">
        <v>1002</v>
      </c>
      <c r="E96" t="s">
        <v>125</v>
      </c>
      <c r="F96" t="s">
        <v>93</v>
      </c>
      <c r="G96" t="s">
        <v>126</v>
      </c>
      <c r="H96" t="s">
        <v>163</v>
      </c>
      <c r="I96" t="s">
        <v>164</v>
      </c>
      <c r="J96" s="18">
        <v>7045.2250000000004</v>
      </c>
      <c r="K96" t="s">
        <v>104</v>
      </c>
      <c r="L96" t="s">
        <v>129</v>
      </c>
      <c r="M96" t="s">
        <v>130</v>
      </c>
      <c r="N96" t="s">
        <v>131</v>
      </c>
      <c r="O96" t="s">
        <v>132</v>
      </c>
    </row>
    <row r="97" spans="1:15" x14ac:dyDescent="0.45">
      <c r="A97">
        <f t="shared" si="1"/>
        <v>96</v>
      </c>
      <c r="B97" s="14">
        <v>43193</v>
      </c>
      <c r="C97" s="14">
        <f>EOMONTH(tbl_GLSalesDetail[[#This Row],[Date]],-1)+1</f>
        <v>43191</v>
      </c>
      <c r="D97" s="17">
        <v>1001</v>
      </c>
      <c r="E97" t="s">
        <v>116</v>
      </c>
      <c r="F97" t="s">
        <v>117</v>
      </c>
      <c r="G97" t="s">
        <v>118</v>
      </c>
      <c r="H97" t="s">
        <v>95</v>
      </c>
      <c r="I97" t="s">
        <v>96</v>
      </c>
      <c r="J97" s="18">
        <v>247.77500000000001</v>
      </c>
      <c r="K97" t="s">
        <v>145</v>
      </c>
      <c r="L97" t="s">
        <v>121</v>
      </c>
      <c r="M97" t="s">
        <v>122</v>
      </c>
      <c r="N97" t="s">
        <v>123</v>
      </c>
      <c r="O97" t="s">
        <v>124</v>
      </c>
    </row>
    <row r="98" spans="1:15" x14ac:dyDescent="0.45">
      <c r="A98">
        <f t="shared" si="1"/>
        <v>97</v>
      </c>
      <c r="B98" s="14">
        <v>43193</v>
      </c>
      <c r="C98" s="14">
        <f>EOMONTH(tbl_GLSalesDetail[[#This Row],[Date]],-1)+1</f>
        <v>43191</v>
      </c>
      <c r="D98" s="17">
        <v>1001</v>
      </c>
      <c r="E98" t="s">
        <v>116</v>
      </c>
      <c r="F98" t="s">
        <v>117</v>
      </c>
      <c r="G98" t="s">
        <v>118</v>
      </c>
      <c r="H98" t="s">
        <v>95</v>
      </c>
      <c r="I98" t="s">
        <v>96</v>
      </c>
      <c r="J98" s="18">
        <v>2276.7249999999999</v>
      </c>
      <c r="K98" t="s">
        <v>145</v>
      </c>
      <c r="L98" t="s">
        <v>121</v>
      </c>
      <c r="M98" t="s">
        <v>122</v>
      </c>
      <c r="N98" t="s">
        <v>123</v>
      </c>
      <c r="O98" t="s">
        <v>124</v>
      </c>
    </row>
    <row r="99" spans="1:15" x14ac:dyDescent="0.45">
      <c r="A99">
        <f t="shared" si="1"/>
        <v>98</v>
      </c>
      <c r="B99" s="14">
        <v>43193</v>
      </c>
      <c r="C99" s="14">
        <f>EOMONTH(tbl_GLSalesDetail[[#This Row],[Date]],-1)+1</f>
        <v>43191</v>
      </c>
      <c r="D99" s="17">
        <v>1001</v>
      </c>
      <c r="E99" t="s">
        <v>116</v>
      </c>
      <c r="F99" t="s">
        <v>117</v>
      </c>
      <c r="G99" t="s">
        <v>118</v>
      </c>
      <c r="H99" t="s">
        <v>95</v>
      </c>
      <c r="I99" t="s">
        <v>96</v>
      </c>
      <c r="J99" s="18">
        <v>4361.7750000000005</v>
      </c>
      <c r="K99" t="s">
        <v>97</v>
      </c>
      <c r="L99" t="s">
        <v>121</v>
      </c>
      <c r="M99" t="s">
        <v>122</v>
      </c>
      <c r="N99" t="s">
        <v>123</v>
      </c>
      <c r="O99" t="s">
        <v>124</v>
      </c>
    </row>
    <row r="100" spans="1:15" x14ac:dyDescent="0.45">
      <c r="A100">
        <f t="shared" si="1"/>
        <v>99</v>
      </c>
      <c r="B100" s="14">
        <v>43195</v>
      </c>
      <c r="C100" s="14">
        <f>EOMONTH(tbl_GLSalesDetail[[#This Row],[Date]],-1)+1</f>
        <v>43191</v>
      </c>
      <c r="D100" s="17">
        <v>1001</v>
      </c>
      <c r="E100" t="s">
        <v>136</v>
      </c>
      <c r="F100" t="s">
        <v>106</v>
      </c>
      <c r="G100" t="s">
        <v>162</v>
      </c>
      <c r="H100" t="s">
        <v>178</v>
      </c>
      <c r="I100" t="s">
        <v>179</v>
      </c>
      <c r="J100" s="18">
        <v>6933.0250000000005</v>
      </c>
      <c r="K100" t="s">
        <v>145</v>
      </c>
      <c r="L100" t="s">
        <v>165</v>
      </c>
      <c r="M100" t="s">
        <v>166</v>
      </c>
      <c r="N100" t="s">
        <v>167</v>
      </c>
      <c r="O100" t="s">
        <v>168</v>
      </c>
    </row>
    <row r="101" spans="1:15" x14ac:dyDescent="0.45">
      <c r="A101">
        <f t="shared" si="1"/>
        <v>100</v>
      </c>
      <c r="B101" s="14">
        <v>43195</v>
      </c>
      <c r="C101" s="14">
        <f>EOMONTH(tbl_GLSalesDetail[[#This Row],[Date]],-1)+1</f>
        <v>43191</v>
      </c>
      <c r="D101" s="17">
        <v>1001</v>
      </c>
      <c r="E101" t="s">
        <v>146</v>
      </c>
      <c r="F101" t="s">
        <v>147</v>
      </c>
      <c r="G101" t="s">
        <v>171</v>
      </c>
      <c r="H101" t="s">
        <v>102</v>
      </c>
      <c r="I101" t="s">
        <v>103</v>
      </c>
      <c r="J101" s="18">
        <v>15062.85</v>
      </c>
      <c r="K101" t="s">
        <v>145</v>
      </c>
      <c r="L101" t="s">
        <v>172</v>
      </c>
      <c r="M101" t="s">
        <v>173</v>
      </c>
      <c r="N101" t="s">
        <v>174</v>
      </c>
      <c r="O101" t="s">
        <v>175</v>
      </c>
    </row>
    <row r="102" spans="1:15" x14ac:dyDescent="0.45">
      <c r="A102">
        <f t="shared" si="1"/>
        <v>101</v>
      </c>
      <c r="B102" s="14">
        <v>43195</v>
      </c>
      <c r="C102" s="14">
        <f>EOMONTH(tbl_GLSalesDetail[[#This Row],[Date]],-1)+1</f>
        <v>43191</v>
      </c>
      <c r="D102" s="17">
        <v>1001</v>
      </c>
      <c r="E102" t="s">
        <v>136</v>
      </c>
      <c r="F102" t="s">
        <v>106</v>
      </c>
      <c r="G102" t="s">
        <v>162</v>
      </c>
      <c r="H102" t="s">
        <v>178</v>
      </c>
      <c r="I102" t="s">
        <v>179</v>
      </c>
      <c r="J102" s="18">
        <v>21696.675000000003</v>
      </c>
      <c r="K102" t="s">
        <v>145</v>
      </c>
      <c r="L102" t="s">
        <v>165</v>
      </c>
      <c r="M102" t="s">
        <v>166</v>
      </c>
      <c r="N102" t="s">
        <v>167</v>
      </c>
      <c r="O102" t="s">
        <v>168</v>
      </c>
    </row>
    <row r="103" spans="1:15" x14ac:dyDescent="0.45">
      <c r="A103">
        <f t="shared" si="1"/>
        <v>102</v>
      </c>
      <c r="B103" s="14">
        <v>43195</v>
      </c>
      <c r="C103" s="14">
        <f>EOMONTH(tbl_GLSalesDetail[[#This Row],[Date]],-1)+1</f>
        <v>43191</v>
      </c>
      <c r="D103" s="17">
        <v>1001</v>
      </c>
      <c r="E103" t="s">
        <v>146</v>
      </c>
      <c r="F103" t="s">
        <v>147</v>
      </c>
      <c r="G103" t="s">
        <v>171</v>
      </c>
      <c r="H103" t="s">
        <v>102</v>
      </c>
      <c r="I103" t="s">
        <v>103</v>
      </c>
      <c r="J103" s="18">
        <v>28452.050000000003</v>
      </c>
      <c r="K103" t="s">
        <v>145</v>
      </c>
      <c r="L103" t="s">
        <v>172</v>
      </c>
      <c r="M103" t="s">
        <v>173</v>
      </c>
      <c r="N103" t="s">
        <v>174</v>
      </c>
      <c r="O103" t="s">
        <v>175</v>
      </c>
    </row>
    <row r="104" spans="1:15" x14ac:dyDescent="0.45">
      <c r="A104">
        <f t="shared" si="1"/>
        <v>103</v>
      </c>
      <c r="B104" s="14">
        <v>43195</v>
      </c>
      <c r="C104" s="14">
        <f>EOMONTH(tbl_GLSalesDetail[[#This Row],[Date]],-1)+1</f>
        <v>43191</v>
      </c>
      <c r="D104" s="17">
        <v>1001</v>
      </c>
      <c r="E104" t="s">
        <v>105</v>
      </c>
      <c r="F104" t="s">
        <v>106</v>
      </c>
      <c r="G104" t="s">
        <v>107</v>
      </c>
      <c r="H104" t="s">
        <v>114</v>
      </c>
      <c r="I104" t="s">
        <v>115</v>
      </c>
      <c r="J104" s="18">
        <v>18003.424999999999</v>
      </c>
      <c r="K104" t="s">
        <v>145</v>
      </c>
      <c r="L104" t="s">
        <v>110</v>
      </c>
      <c r="M104" t="s">
        <v>111</v>
      </c>
      <c r="N104" t="s">
        <v>112</v>
      </c>
      <c r="O104" t="s">
        <v>113</v>
      </c>
    </row>
    <row r="105" spans="1:15" x14ac:dyDescent="0.45">
      <c r="A105">
        <f t="shared" si="1"/>
        <v>104</v>
      </c>
      <c r="B105" s="14">
        <v>43195</v>
      </c>
      <c r="C105" s="14">
        <f>EOMONTH(tbl_GLSalesDetail[[#This Row],[Date]],-1)+1</f>
        <v>43191</v>
      </c>
      <c r="D105" s="17">
        <v>1001</v>
      </c>
      <c r="E105" t="s">
        <v>105</v>
      </c>
      <c r="F105" t="s">
        <v>106</v>
      </c>
      <c r="G105" t="s">
        <v>107</v>
      </c>
      <c r="H105" t="s">
        <v>176</v>
      </c>
      <c r="I105" t="s">
        <v>177</v>
      </c>
      <c r="J105" s="18">
        <v>12533.675000000001</v>
      </c>
      <c r="K105" t="s">
        <v>145</v>
      </c>
      <c r="L105" t="s">
        <v>110</v>
      </c>
      <c r="M105" t="s">
        <v>111</v>
      </c>
      <c r="N105" t="s">
        <v>112</v>
      </c>
      <c r="O105" t="s">
        <v>113</v>
      </c>
    </row>
    <row r="106" spans="1:15" x14ac:dyDescent="0.45">
      <c r="A106">
        <f t="shared" si="1"/>
        <v>105</v>
      </c>
      <c r="B106" s="14">
        <v>43195</v>
      </c>
      <c r="C106" s="14">
        <f>EOMONTH(tbl_GLSalesDetail[[#This Row],[Date]],-1)+1</f>
        <v>43191</v>
      </c>
      <c r="D106" s="17">
        <v>1001</v>
      </c>
      <c r="E106" t="s">
        <v>116</v>
      </c>
      <c r="F106" t="s">
        <v>117</v>
      </c>
      <c r="G106" t="s">
        <v>187</v>
      </c>
      <c r="H106" t="s">
        <v>108</v>
      </c>
      <c r="I106" t="s">
        <v>109</v>
      </c>
      <c r="J106" s="18">
        <v>3183.6750000000002</v>
      </c>
      <c r="K106" t="s">
        <v>97</v>
      </c>
      <c r="L106" t="s">
        <v>188</v>
      </c>
      <c r="M106" t="s">
        <v>189</v>
      </c>
      <c r="N106" t="s">
        <v>190</v>
      </c>
      <c r="O106" t="s">
        <v>191</v>
      </c>
    </row>
    <row r="107" spans="1:15" x14ac:dyDescent="0.45">
      <c r="A107">
        <f t="shared" si="1"/>
        <v>106</v>
      </c>
      <c r="B107" s="14">
        <v>43195</v>
      </c>
      <c r="C107" s="14">
        <f>EOMONTH(tbl_GLSalesDetail[[#This Row],[Date]],-1)+1</f>
        <v>43191</v>
      </c>
      <c r="D107" s="17">
        <v>1001</v>
      </c>
      <c r="E107" t="s">
        <v>155</v>
      </c>
      <c r="F107" t="s">
        <v>117</v>
      </c>
      <c r="G107" t="s">
        <v>156</v>
      </c>
      <c r="H107" t="s">
        <v>142</v>
      </c>
      <c r="I107" t="s">
        <v>143</v>
      </c>
      <c r="J107" s="18">
        <v>27881.7</v>
      </c>
      <c r="K107" t="s">
        <v>97</v>
      </c>
      <c r="L107" t="s">
        <v>158</v>
      </c>
      <c r="M107" t="s">
        <v>159</v>
      </c>
      <c r="N107" t="s">
        <v>140</v>
      </c>
      <c r="O107" t="s">
        <v>141</v>
      </c>
    </row>
    <row r="108" spans="1:15" x14ac:dyDescent="0.45">
      <c r="A108">
        <f t="shared" si="1"/>
        <v>107</v>
      </c>
      <c r="B108" s="14">
        <v>43195</v>
      </c>
      <c r="C108" s="14">
        <f>EOMONTH(tbl_GLSalesDetail[[#This Row],[Date]],-1)+1</f>
        <v>43191</v>
      </c>
      <c r="D108" s="17">
        <v>1001</v>
      </c>
      <c r="E108" t="s">
        <v>105</v>
      </c>
      <c r="F108" t="s">
        <v>106</v>
      </c>
      <c r="G108" t="s">
        <v>107</v>
      </c>
      <c r="H108" t="s">
        <v>192</v>
      </c>
      <c r="I108" t="s">
        <v>193</v>
      </c>
      <c r="J108" s="18">
        <v>36380.85</v>
      </c>
      <c r="K108" t="s">
        <v>97</v>
      </c>
      <c r="L108" t="s">
        <v>110</v>
      </c>
      <c r="M108" t="s">
        <v>111</v>
      </c>
      <c r="N108" t="s">
        <v>112</v>
      </c>
      <c r="O108" t="s">
        <v>113</v>
      </c>
    </row>
    <row r="109" spans="1:15" x14ac:dyDescent="0.45">
      <c r="A109">
        <f t="shared" si="1"/>
        <v>108</v>
      </c>
      <c r="B109" s="14">
        <v>43195</v>
      </c>
      <c r="C109" s="14">
        <f>EOMONTH(tbl_GLSalesDetail[[#This Row],[Date]],-1)+1</f>
        <v>43191</v>
      </c>
      <c r="D109" s="17">
        <v>1001</v>
      </c>
      <c r="E109" t="s">
        <v>116</v>
      </c>
      <c r="F109" t="s">
        <v>117</v>
      </c>
      <c r="G109" t="s">
        <v>187</v>
      </c>
      <c r="H109" t="s">
        <v>108</v>
      </c>
      <c r="I109" t="s">
        <v>109</v>
      </c>
      <c r="J109" s="18">
        <v>355.3</v>
      </c>
      <c r="K109" t="s">
        <v>97</v>
      </c>
      <c r="L109" t="s">
        <v>188</v>
      </c>
      <c r="M109" t="s">
        <v>189</v>
      </c>
      <c r="N109" t="s">
        <v>190</v>
      </c>
      <c r="O109" t="s">
        <v>191</v>
      </c>
    </row>
    <row r="110" spans="1:15" x14ac:dyDescent="0.45">
      <c r="A110">
        <f t="shared" si="1"/>
        <v>109</v>
      </c>
      <c r="B110" s="14">
        <v>43195</v>
      </c>
      <c r="C110" s="14">
        <f>EOMONTH(tbl_GLSalesDetail[[#This Row],[Date]],-1)+1</f>
        <v>43191</v>
      </c>
      <c r="D110" s="17">
        <v>1001</v>
      </c>
      <c r="E110" t="s">
        <v>136</v>
      </c>
      <c r="F110" t="s">
        <v>106</v>
      </c>
      <c r="G110" t="s">
        <v>162</v>
      </c>
      <c r="H110" t="s">
        <v>163</v>
      </c>
      <c r="I110" t="s">
        <v>164</v>
      </c>
      <c r="J110" s="18">
        <v>42238.625</v>
      </c>
      <c r="K110" t="s">
        <v>97</v>
      </c>
      <c r="L110" t="s">
        <v>165</v>
      </c>
      <c r="M110" t="s">
        <v>166</v>
      </c>
      <c r="N110" t="s">
        <v>167</v>
      </c>
      <c r="O110" t="s">
        <v>168</v>
      </c>
    </row>
    <row r="111" spans="1:15" x14ac:dyDescent="0.45">
      <c r="A111">
        <f t="shared" si="1"/>
        <v>110</v>
      </c>
      <c r="B111" s="14">
        <v>43195</v>
      </c>
      <c r="C111" s="14">
        <f>EOMONTH(tbl_GLSalesDetail[[#This Row],[Date]],-1)+1</f>
        <v>43191</v>
      </c>
      <c r="D111" s="17">
        <v>1001</v>
      </c>
      <c r="E111" t="s">
        <v>105</v>
      </c>
      <c r="F111" t="s">
        <v>106</v>
      </c>
      <c r="G111" t="s">
        <v>107</v>
      </c>
      <c r="H111" t="s">
        <v>114</v>
      </c>
      <c r="I111" t="s">
        <v>115</v>
      </c>
      <c r="J111" s="18">
        <v>18433.525000000001</v>
      </c>
      <c r="K111" t="s">
        <v>97</v>
      </c>
      <c r="L111" t="s">
        <v>110</v>
      </c>
      <c r="M111" t="s">
        <v>111</v>
      </c>
      <c r="N111" t="s">
        <v>112</v>
      </c>
      <c r="O111" t="s">
        <v>113</v>
      </c>
    </row>
    <row r="112" spans="1:15" x14ac:dyDescent="0.45">
      <c r="A112">
        <f t="shared" si="1"/>
        <v>111</v>
      </c>
      <c r="B112" s="14">
        <v>43195</v>
      </c>
      <c r="C112" s="14">
        <f>EOMONTH(tbl_GLSalesDetail[[#This Row],[Date]],-1)+1</f>
        <v>43191</v>
      </c>
      <c r="D112" s="17">
        <v>1001</v>
      </c>
      <c r="E112" t="s">
        <v>105</v>
      </c>
      <c r="F112" t="s">
        <v>106</v>
      </c>
      <c r="G112" t="s">
        <v>107</v>
      </c>
      <c r="H112" t="s">
        <v>176</v>
      </c>
      <c r="I112" t="s">
        <v>177</v>
      </c>
      <c r="J112" s="18">
        <v>27353.425000000003</v>
      </c>
      <c r="K112" t="s">
        <v>97</v>
      </c>
      <c r="L112" t="s">
        <v>110</v>
      </c>
      <c r="M112" t="s">
        <v>111</v>
      </c>
      <c r="N112" t="s">
        <v>112</v>
      </c>
      <c r="O112" t="s">
        <v>113</v>
      </c>
    </row>
    <row r="113" spans="1:15" x14ac:dyDescent="0.45">
      <c r="A113">
        <f t="shared" si="1"/>
        <v>112</v>
      </c>
      <c r="B113" s="14">
        <v>43195</v>
      </c>
      <c r="C113" s="14">
        <f>EOMONTH(tbl_GLSalesDetail[[#This Row],[Date]],-1)+1</f>
        <v>43191</v>
      </c>
      <c r="D113" s="17">
        <v>1001</v>
      </c>
      <c r="E113" t="s">
        <v>105</v>
      </c>
      <c r="F113" t="s">
        <v>106</v>
      </c>
      <c r="G113" t="s">
        <v>107</v>
      </c>
      <c r="H113" t="s">
        <v>192</v>
      </c>
      <c r="I113" t="s">
        <v>193</v>
      </c>
      <c r="J113" s="18">
        <v>13646.325000000001</v>
      </c>
      <c r="K113" t="s">
        <v>97</v>
      </c>
      <c r="L113" t="s">
        <v>110</v>
      </c>
      <c r="M113" t="s">
        <v>111</v>
      </c>
      <c r="N113" t="s">
        <v>112</v>
      </c>
      <c r="O113" t="s">
        <v>113</v>
      </c>
    </row>
    <row r="114" spans="1:15" x14ac:dyDescent="0.45">
      <c r="A114">
        <f t="shared" si="1"/>
        <v>113</v>
      </c>
      <c r="B114" s="14">
        <v>43195</v>
      </c>
      <c r="C114" s="14">
        <f>EOMONTH(tbl_GLSalesDetail[[#This Row],[Date]],-1)+1</f>
        <v>43191</v>
      </c>
      <c r="D114" s="17">
        <v>1001</v>
      </c>
      <c r="E114" t="s">
        <v>116</v>
      </c>
      <c r="F114" t="s">
        <v>117</v>
      </c>
      <c r="G114" t="s">
        <v>194</v>
      </c>
      <c r="H114" t="s">
        <v>163</v>
      </c>
      <c r="I114" t="s">
        <v>185</v>
      </c>
      <c r="J114" s="18">
        <v>30789.550000000003</v>
      </c>
      <c r="K114" t="s">
        <v>97</v>
      </c>
      <c r="L114" t="s">
        <v>195</v>
      </c>
      <c r="M114" t="s">
        <v>196</v>
      </c>
      <c r="N114" t="s">
        <v>131</v>
      </c>
      <c r="O114" t="s">
        <v>132</v>
      </c>
    </row>
    <row r="115" spans="1:15" x14ac:dyDescent="0.45">
      <c r="A115">
        <f t="shared" si="1"/>
        <v>114</v>
      </c>
      <c r="B115" s="14">
        <v>43195</v>
      </c>
      <c r="C115" s="14">
        <f>EOMONTH(tbl_GLSalesDetail[[#This Row],[Date]],-1)+1</f>
        <v>43191</v>
      </c>
      <c r="D115" s="17">
        <v>1001</v>
      </c>
      <c r="E115" t="s">
        <v>136</v>
      </c>
      <c r="F115" t="s">
        <v>106</v>
      </c>
      <c r="G115" t="s">
        <v>162</v>
      </c>
      <c r="H115" t="s">
        <v>163</v>
      </c>
      <c r="I115" t="s">
        <v>164</v>
      </c>
      <c r="J115" s="18">
        <v>37175.599999999999</v>
      </c>
      <c r="K115" t="s">
        <v>97</v>
      </c>
      <c r="L115" t="s">
        <v>165</v>
      </c>
      <c r="M115" t="s">
        <v>166</v>
      </c>
      <c r="N115" t="s">
        <v>167</v>
      </c>
      <c r="O115" t="s">
        <v>168</v>
      </c>
    </row>
    <row r="116" spans="1:15" x14ac:dyDescent="0.45">
      <c r="A116">
        <f t="shared" si="1"/>
        <v>115</v>
      </c>
      <c r="B116" s="14">
        <v>43195</v>
      </c>
      <c r="C116" s="14">
        <f>EOMONTH(tbl_GLSalesDetail[[#This Row],[Date]],-1)+1</f>
        <v>43191</v>
      </c>
      <c r="D116" s="17">
        <v>1001</v>
      </c>
      <c r="E116" t="s">
        <v>105</v>
      </c>
      <c r="F116" t="s">
        <v>106</v>
      </c>
      <c r="G116" t="s">
        <v>107</v>
      </c>
      <c r="H116" t="s">
        <v>192</v>
      </c>
      <c r="I116" t="s">
        <v>193</v>
      </c>
      <c r="J116" s="18">
        <v>28844.75</v>
      </c>
      <c r="K116" t="s">
        <v>97</v>
      </c>
      <c r="L116" t="s">
        <v>110</v>
      </c>
      <c r="M116" t="s">
        <v>111</v>
      </c>
      <c r="N116" t="s">
        <v>112</v>
      </c>
      <c r="O116" t="s">
        <v>113</v>
      </c>
    </row>
    <row r="117" spans="1:15" x14ac:dyDescent="0.45">
      <c r="A117">
        <f t="shared" si="1"/>
        <v>116</v>
      </c>
      <c r="B117" s="14">
        <v>43195</v>
      </c>
      <c r="C117" s="14">
        <f>EOMONTH(tbl_GLSalesDetail[[#This Row],[Date]],-1)+1</f>
        <v>43191</v>
      </c>
      <c r="D117" s="17">
        <v>1002</v>
      </c>
      <c r="E117" t="s">
        <v>136</v>
      </c>
      <c r="F117" t="s">
        <v>106</v>
      </c>
      <c r="G117" t="s">
        <v>162</v>
      </c>
      <c r="H117" t="s">
        <v>163</v>
      </c>
      <c r="I117" t="s">
        <v>164</v>
      </c>
      <c r="J117" s="18">
        <v>3286.5250000000001</v>
      </c>
      <c r="K117" t="s">
        <v>104</v>
      </c>
      <c r="L117" t="s">
        <v>165</v>
      </c>
      <c r="M117" t="s">
        <v>166</v>
      </c>
      <c r="N117" t="s">
        <v>167</v>
      </c>
      <c r="O117" t="s">
        <v>168</v>
      </c>
    </row>
    <row r="118" spans="1:15" x14ac:dyDescent="0.45">
      <c r="A118">
        <f t="shared" si="1"/>
        <v>117</v>
      </c>
      <c r="B118" s="14">
        <v>43195</v>
      </c>
      <c r="C118" s="14">
        <f>EOMONTH(tbl_GLSalesDetail[[#This Row],[Date]],-1)+1</f>
        <v>43191</v>
      </c>
      <c r="D118" s="17">
        <v>1002</v>
      </c>
      <c r="E118" t="s">
        <v>105</v>
      </c>
      <c r="F118" t="s">
        <v>106</v>
      </c>
      <c r="G118" t="s">
        <v>107</v>
      </c>
      <c r="H118" t="s">
        <v>114</v>
      </c>
      <c r="I118" t="s">
        <v>115</v>
      </c>
      <c r="J118" s="18">
        <v>5525.85</v>
      </c>
      <c r="K118" t="s">
        <v>104</v>
      </c>
      <c r="L118" t="s">
        <v>110</v>
      </c>
      <c r="M118" t="s">
        <v>111</v>
      </c>
      <c r="N118" t="s">
        <v>112</v>
      </c>
      <c r="O118" t="s">
        <v>113</v>
      </c>
    </row>
    <row r="119" spans="1:15" x14ac:dyDescent="0.45">
      <c r="A119">
        <f t="shared" si="1"/>
        <v>118</v>
      </c>
      <c r="B119" s="14">
        <v>43195</v>
      </c>
      <c r="C119" s="14">
        <f>EOMONTH(tbl_GLSalesDetail[[#This Row],[Date]],-1)+1</f>
        <v>43191</v>
      </c>
      <c r="D119" s="17">
        <v>1002</v>
      </c>
      <c r="E119" t="s">
        <v>105</v>
      </c>
      <c r="F119" t="s">
        <v>106</v>
      </c>
      <c r="G119" t="s">
        <v>107</v>
      </c>
      <c r="H119" t="s">
        <v>176</v>
      </c>
      <c r="I119" t="s">
        <v>177</v>
      </c>
      <c r="J119" s="18">
        <v>24174.425000000003</v>
      </c>
      <c r="K119" t="s">
        <v>104</v>
      </c>
      <c r="L119" t="s">
        <v>110</v>
      </c>
      <c r="M119" t="s">
        <v>111</v>
      </c>
      <c r="N119" t="s">
        <v>112</v>
      </c>
      <c r="O119" t="s">
        <v>113</v>
      </c>
    </row>
    <row r="120" spans="1:15" x14ac:dyDescent="0.45">
      <c r="A120">
        <f t="shared" si="1"/>
        <v>119</v>
      </c>
      <c r="B120" s="14">
        <v>43195</v>
      </c>
      <c r="C120" s="14">
        <f>EOMONTH(tbl_GLSalesDetail[[#This Row],[Date]],-1)+1</f>
        <v>43191</v>
      </c>
      <c r="D120" s="17">
        <v>1002</v>
      </c>
      <c r="E120" t="s">
        <v>116</v>
      </c>
      <c r="F120" t="s">
        <v>117</v>
      </c>
      <c r="G120" t="s">
        <v>187</v>
      </c>
      <c r="H120" t="s">
        <v>134</v>
      </c>
      <c r="I120" t="s">
        <v>135</v>
      </c>
      <c r="J120" s="18">
        <v>2613.3250000000003</v>
      </c>
      <c r="K120" t="s">
        <v>104</v>
      </c>
      <c r="L120" t="s">
        <v>188</v>
      </c>
      <c r="M120" t="s">
        <v>189</v>
      </c>
      <c r="N120" t="s">
        <v>190</v>
      </c>
      <c r="O120" t="s">
        <v>191</v>
      </c>
    </row>
    <row r="121" spans="1:15" x14ac:dyDescent="0.45">
      <c r="A121">
        <f t="shared" si="1"/>
        <v>120</v>
      </c>
      <c r="B121" s="14">
        <v>43195</v>
      </c>
      <c r="C121" s="14">
        <f>EOMONTH(tbl_GLSalesDetail[[#This Row],[Date]],-1)+1</f>
        <v>43191</v>
      </c>
      <c r="D121" s="17">
        <v>1002</v>
      </c>
      <c r="E121" t="s">
        <v>116</v>
      </c>
      <c r="F121" t="s">
        <v>117</v>
      </c>
      <c r="G121" t="s">
        <v>194</v>
      </c>
      <c r="H121" t="s">
        <v>163</v>
      </c>
      <c r="I121" t="s">
        <v>185</v>
      </c>
      <c r="J121" s="18">
        <v>1285.625</v>
      </c>
      <c r="K121" t="s">
        <v>104</v>
      </c>
      <c r="L121" t="s">
        <v>195</v>
      </c>
      <c r="M121" t="s">
        <v>196</v>
      </c>
      <c r="N121" t="s">
        <v>131</v>
      </c>
      <c r="O121" t="s">
        <v>132</v>
      </c>
    </row>
    <row r="122" spans="1:15" x14ac:dyDescent="0.45">
      <c r="A122">
        <f t="shared" si="1"/>
        <v>121</v>
      </c>
      <c r="B122" s="14">
        <v>43195</v>
      </c>
      <c r="C122" s="14">
        <f>EOMONTH(tbl_GLSalesDetail[[#This Row],[Date]],-1)+1</f>
        <v>43191</v>
      </c>
      <c r="D122" s="17">
        <v>1002</v>
      </c>
      <c r="E122" t="s">
        <v>146</v>
      </c>
      <c r="F122" t="s">
        <v>147</v>
      </c>
      <c r="G122" t="s">
        <v>171</v>
      </c>
      <c r="H122" t="s">
        <v>102</v>
      </c>
      <c r="I122" t="s">
        <v>103</v>
      </c>
      <c r="J122" s="18">
        <v>10270.975</v>
      </c>
      <c r="K122" t="s">
        <v>104</v>
      </c>
      <c r="L122" t="s">
        <v>172</v>
      </c>
      <c r="M122" t="s">
        <v>173</v>
      </c>
      <c r="N122" t="s">
        <v>174</v>
      </c>
      <c r="O122" t="s">
        <v>175</v>
      </c>
    </row>
    <row r="123" spans="1:15" x14ac:dyDescent="0.45">
      <c r="A123">
        <f t="shared" si="1"/>
        <v>122</v>
      </c>
      <c r="B123" s="14">
        <v>43195</v>
      </c>
      <c r="C123" s="14">
        <f>EOMONTH(tbl_GLSalesDetail[[#This Row],[Date]],-1)+1</f>
        <v>43191</v>
      </c>
      <c r="D123" s="17">
        <v>1002</v>
      </c>
      <c r="E123" t="s">
        <v>116</v>
      </c>
      <c r="F123" t="s">
        <v>117</v>
      </c>
      <c r="G123" t="s">
        <v>187</v>
      </c>
      <c r="H123" t="s">
        <v>108</v>
      </c>
      <c r="I123" t="s">
        <v>109</v>
      </c>
      <c r="J123" s="18">
        <v>33505.724999999999</v>
      </c>
      <c r="K123" t="s">
        <v>104</v>
      </c>
      <c r="L123" t="s">
        <v>188</v>
      </c>
      <c r="M123" t="s">
        <v>189</v>
      </c>
      <c r="N123" t="s">
        <v>190</v>
      </c>
      <c r="O123" t="s">
        <v>191</v>
      </c>
    </row>
    <row r="124" spans="1:15" x14ac:dyDescent="0.45">
      <c r="A124">
        <f t="shared" si="1"/>
        <v>123</v>
      </c>
      <c r="B124" s="14">
        <v>43195</v>
      </c>
      <c r="C124" s="14">
        <f>EOMONTH(tbl_GLSalesDetail[[#This Row],[Date]],-1)+1</f>
        <v>43191</v>
      </c>
      <c r="D124" s="17">
        <v>1002</v>
      </c>
      <c r="E124" t="s">
        <v>116</v>
      </c>
      <c r="F124" t="s">
        <v>117</v>
      </c>
      <c r="G124" t="s">
        <v>187</v>
      </c>
      <c r="H124" t="s">
        <v>134</v>
      </c>
      <c r="I124" t="s">
        <v>135</v>
      </c>
      <c r="J124" s="18">
        <v>32720.325000000001</v>
      </c>
      <c r="K124" t="s">
        <v>104</v>
      </c>
      <c r="L124" t="s">
        <v>188</v>
      </c>
      <c r="M124" t="s">
        <v>189</v>
      </c>
      <c r="N124" t="s">
        <v>190</v>
      </c>
      <c r="O124" t="s">
        <v>191</v>
      </c>
    </row>
    <row r="125" spans="1:15" x14ac:dyDescent="0.45">
      <c r="A125">
        <f t="shared" si="1"/>
        <v>124</v>
      </c>
      <c r="B125" s="14">
        <v>43195</v>
      </c>
      <c r="C125" s="14">
        <f>EOMONTH(tbl_GLSalesDetail[[#This Row],[Date]],-1)+1</f>
        <v>43191</v>
      </c>
      <c r="D125" s="17">
        <v>1002</v>
      </c>
      <c r="E125" t="s">
        <v>136</v>
      </c>
      <c r="F125" t="s">
        <v>106</v>
      </c>
      <c r="G125" t="s">
        <v>162</v>
      </c>
      <c r="H125" t="s">
        <v>178</v>
      </c>
      <c r="I125" t="s">
        <v>179</v>
      </c>
      <c r="J125" s="18">
        <v>35244.825000000004</v>
      </c>
      <c r="K125" t="s">
        <v>104</v>
      </c>
      <c r="L125" t="s">
        <v>165</v>
      </c>
      <c r="M125" t="s">
        <v>166</v>
      </c>
      <c r="N125" t="s">
        <v>167</v>
      </c>
      <c r="O125" t="s">
        <v>168</v>
      </c>
    </row>
    <row r="126" spans="1:15" x14ac:dyDescent="0.45">
      <c r="A126">
        <f t="shared" si="1"/>
        <v>125</v>
      </c>
      <c r="B126" s="14">
        <v>43195</v>
      </c>
      <c r="C126" s="14">
        <f>EOMONTH(tbl_GLSalesDetail[[#This Row],[Date]],-1)+1</f>
        <v>43191</v>
      </c>
      <c r="D126" s="17">
        <v>1002</v>
      </c>
      <c r="E126" t="s">
        <v>155</v>
      </c>
      <c r="F126" t="s">
        <v>117</v>
      </c>
      <c r="G126" t="s">
        <v>156</v>
      </c>
      <c r="H126" t="s">
        <v>169</v>
      </c>
      <c r="I126" t="s">
        <v>170</v>
      </c>
      <c r="J126" s="18">
        <v>43243.75</v>
      </c>
      <c r="K126" t="s">
        <v>104</v>
      </c>
      <c r="L126" t="s">
        <v>158</v>
      </c>
      <c r="M126" t="s">
        <v>159</v>
      </c>
      <c r="N126" t="s">
        <v>140</v>
      </c>
      <c r="O126" t="s">
        <v>141</v>
      </c>
    </row>
    <row r="127" spans="1:15" x14ac:dyDescent="0.45">
      <c r="A127">
        <f t="shared" si="1"/>
        <v>126</v>
      </c>
      <c r="B127" s="14">
        <v>43197</v>
      </c>
      <c r="C127" s="14">
        <f>EOMONTH(tbl_GLSalesDetail[[#This Row],[Date]],-1)+1</f>
        <v>43191</v>
      </c>
      <c r="D127" s="17">
        <v>1001</v>
      </c>
      <c r="E127" t="s">
        <v>146</v>
      </c>
      <c r="F127" t="s">
        <v>147</v>
      </c>
      <c r="G127" t="s">
        <v>180</v>
      </c>
      <c r="H127" t="s">
        <v>192</v>
      </c>
      <c r="I127" t="s">
        <v>193</v>
      </c>
      <c r="J127" s="18">
        <v>25188.9</v>
      </c>
      <c r="K127" t="s">
        <v>145</v>
      </c>
      <c r="L127" t="s">
        <v>181</v>
      </c>
      <c r="M127" t="s">
        <v>182</v>
      </c>
      <c r="N127" t="s">
        <v>183</v>
      </c>
      <c r="O127" t="s">
        <v>184</v>
      </c>
    </row>
    <row r="128" spans="1:15" x14ac:dyDescent="0.45">
      <c r="A128">
        <f t="shared" si="1"/>
        <v>127</v>
      </c>
      <c r="B128" s="14">
        <v>43197</v>
      </c>
      <c r="C128" s="14">
        <f>EOMONTH(tbl_GLSalesDetail[[#This Row],[Date]],-1)+1</f>
        <v>43191</v>
      </c>
      <c r="D128" s="17">
        <v>1001</v>
      </c>
      <c r="E128" t="s">
        <v>146</v>
      </c>
      <c r="F128" t="s">
        <v>147</v>
      </c>
      <c r="G128" t="s">
        <v>180</v>
      </c>
      <c r="H128" t="s">
        <v>176</v>
      </c>
      <c r="I128" t="s">
        <v>177</v>
      </c>
      <c r="J128" s="18">
        <v>14534.575000000001</v>
      </c>
      <c r="K128" t="s">
        <v>145</v>
      </c>
      <c r="L128" t="s">
        <v>181</v>
      </c>
      <c r="M128" t="s">
        <v>182</v>
      </c>
      <c r="N128" t="s">
        <v>183</v>
      </c>
      <c r="O128" t="s">
        <v>184</v>
      </c>
    </row>
    <row r="129" spans="1:15" x14ac:dyDescent="0.45">
      <c r="A129">
        <f t="shared" si="1"/>
        <v>128</v>
      </c>
      <c r="B129" s="14">
        <v>43197</v>
      </c>
      <c r="C129" s="14">
        <f>EOMONTH(tbl_GLSalesDetail[[#This Row],[Date]],-1)+1</f>
        <v>43191</v>
      </c>
      <c r="D129" s="17">
        <v>1001</v>
      </c>
      <c r="E129" t="s">
        <v>146</v>
      </c>
      <c r="F129" t="s">
        <v>147</v>
      </c>
      <c r="G129" t="s">
        <v>180</v>
      </c>
      <c r="H129" t="s">
        <v>192</v>
      </c>
      <c r="I129" t="s">
        <v>193</v>
      </c>
      <c r="J129" s="18">
        <v>38634.200000000004</v>
      </c>
      <c r="K129" t="s">
        <v>97</v>
      </c>
      <c r="L129" t="s">
        <v>181</v>
      </c>
      <c r="M129" t="s">
        <v>182</v>
      </c>
      <c r="N129" t="s">
        <v>183</v>
      </c>
      <c r="O129" t="s">
        <v>184</v>
      </c>
    </row>
    <row r="130" spans="1:15" x14ac:dyDescent="0.45">
      <c r="A130">
        <f t="shared" ref="A130:A193" si="2">ROW()-1</f>
        <v>129</v>
      </c>
      <c r="B130" s="14">
        <v>43197</v>
      </c>
      <c r="C130" s="14">
        <f>EOMONTH(tbl_GLSalesDetail[[#This Row],[Date]],-1)+1</f>
        <v>43191</v>
      </c>
      <c r="D130" s="17">
        <v>1002</v>
      </c>
      <c r="E130" t="s">
        <v>146</v>
      </c>
      <c r="F130" t="s">
        <v>147</v>
      </c>
      <c r="G130" t="s">
        <v>180</v>
      </c>
      <c r="H130" t="s">
        <v>176</v>
      </c>
      <c r="I130" t="s">
        <v>177</v>
      </c>
      <c r="J130" s="18">
        <v>24038.850000000002</v>
      </c>
      <c r="K130" t="s">
        <v>104</v>
      </c>
      <c r="L130" t="s">
        <v>181</v>
      </c>
      <c r="M130" t="s">
        <v>182</v>
      </c>
      <c r="N130" t="s">
        <v>183</v>
      </c>
      <c r="O130" t="s">
        <v>184</v>
      </c>
    </row>
    <row r="131" spans="1:15" x14ac:dyDescent="0.45">
      <c r="A131">
        <f t="shared" si="2"/>
        <v>130</v>
      </c>
      <c r="B131" s="14">
        <v>43197</v>
      </c>
      <c r="C131" s="14">
        <f>EOMONTH(tbl_GLSalesDetail[[#This Row],[Date]],-1)+1</f>
        <v>43191</v>
      </c>
      <c r="D131" s="17">
        <v>1002</v>
      </c>
      <c r="E131" t="s">
        <v>146</v>
      </c>
      <c r="F131" t="s">
        <v>147</v>
      </c>
      <c r="G131" t="s">
        <v>180</v>
      </c>
      <c r="H131" t="s">
        <v>176</v>
      </c>
      <c r="I131" t="s">
        <v>177</v>
      </c>
      <c r="J131" s="18">
        <v>20023.025000000001</v>
      </c>
      <c r="K131" t="s">
        <v>104</v>
      </c>
      <c r="L131" t="s">
        <v>181</v>
      </c>
      <c r="M131" t="s">
        <v>182</v>
      </c>
      <c r="N131" t="s">
        <v>183</v>
      </c>
      <c r="O131" t="s">
        <v>184</v>
      </c>
    </row>
    <row r="132" spans="1:15" x14ac:dyDescent="0.45">
      <c r="A132">
        <f t="shared" si="2"/>
        <v>131</v>
      </c>
      <c r="B132" s="14">
        <v>43197</v>
      </c>
      <c r="C132" s="14">
        <f>EOMONTH(tbl_GLSalesDetail[[#This Row],[Date]],-1)+1</f>
        <v>43191</v>
      </c>
      <c r="D132" s="17">
        <v>1002</v>
      </c>
      <c r="E132" t="s">
        <v>146</v>
      </c>
      <c r="F132" t="s">
        <v>147</v>
      </c>
      <c r="G132" t="s">
        <v>180</v>
      </c>
      <c r="H132" t="s">
        <v>192</v>
      </c>
      <c r="I132" t="s">
        <v>193</v>
      </c>
      <c r="J132" s="18">
        <v>41864.625</v>
      </c>
      <c r="K132" t="s">
        <v>104</v>
      </c>
      <c r="L132" t="s">
        <v>181</v>
      </c>
      <c r="M132" t="s">
        <v>182</v>
      </c>
      <c r="N132" t="s">
        <v>183</v>
      </c>
      <c r="O132" t="s">
        <v>184</v>
      </c>
    </row>
    <row r="133" spans="1:15" x14ac:dyDescent="0.45">
      <c r="A133">
        <f t="shared" si="2"/>
        <v>132</v>
      </c>
      <c r="B133" s="14">
        <v>43198</v>
      </c>
      <c r="C133" s="14">
        <f>EOMONTH(tbl_GLSalesDetail[[#This Row],[Date]],-1)+1</f>
        <v>43191</v>
      </c>
      <c r="D133" s="17">
        <v>1001</v>
      </c>
      <c r="E133" t="s">
        <v>116</v>
      </c>
      <c r="F133" t="s">
        <v>117</v>
      </c>
      <c r="G133" t="s">
        <v>118</v>
      </c>
      <c r="H133" t="s">
        <v>102</v>
      </c>
      <c r="I133" t="s">
        <v>103</v>
      </c>
      <c r="J133" s="18">
        <v>8503.8250000000007</v>
      </c>
      <c r="K133" t="s">
        <v>97</v>
      </c>
      <c r="L133" t="s">
        <v>121</v>
      </c>
      <c r="M133" t="s">
        <v>122</v>
      </c>
      <c r="N133" t="s">
        <v>123</v>
      </c>
      <c r="O133" t="s">
        <v>124</v>
      </c>
    </row>
    <row r="134" spans="1:15" x14ac:dyDescent="0.45">
      <c r="A134">
        <f t="shared" si="2"/>
        <v>133</v>
      </c>
      <c r="B134" s="14">
        <v>43198</v>
      </c>
      <c r="C134" s="14">
        <f>EOMONTH(tbl_GLSalesDetail[[#This Row],[Date]],-1)+1</f>
        <v>43191</v>
      </c>
      <c r="D134" s="17">
        <v>1002</v>
      </c>
      <c r="E134" t="s">
        <v>116</v>
      </c>
      <c r="F134" t="s">
        <v>117</v>
      </c>
      <c r="G134" t="s">
        <v>118</v>
      </c>
      <c r="H134" t="s">
        <v>102</v>
      </c>
      <c r="I134" t="s">
        <v>103</v>
      </c>
      <c r="J134" s="18">
        <v>36170.474999999999</v>
      </c>
      <c r="K134" t="s">
        <v>104</v>
      </c>
      <c r="L134" t="s">
        <v>121</v>
      </c>
      <c r="M134" t="s">
        <v>122</v>
      </c>
      <c r="N134" t="s">
        <v>123</v>
      </c>
      <c r="O134" t="s">
        <v>124</v>
      </c>
    </row>
    <row r="135" spans="1:15" x14ac:dyDescent="0.45">
      <c r="A135">
        <f t="shared" si="2"/>
        <v>134</v>
      </c>
      <c r="B135" s="14">
        <v>43198</v>
      </c>
      <c r="C135" s="14">
        <f>EOMONTH(tbl_GLSalesDetail[[#This Row],[Date]],-1)+1</f>
        <v>43191</v>
      </c>
      <c r="D135" s="17">
        <v>1002</v>
      </c>
      <c r="E135" t="s">
        <v>116</v>
      </c>
      <c r="F135" t="s">
        <v>117</v>
      </c>
      <c r="G135" t="s">
        <v>118</v>
      </c>
      <c r="H135" t="s">
        <v>102</v>
      </c>
      <c r="I135" t="s">
        <v>103</v>
      </c>
      <c r="J135" s="18">
        <v>4179.45</v>
      </c>
      <c r="K135" t="s">
        <v>104</v>
      </c>
      <c r="L135" t="s">
        <v>121</v>
      </c>
      <c r="M135" t="s">
        <v>122</v>
      </c>
      <c r="N135" t="s">
        <v>123</v>
      </c>
      <c r="O135" t="s">
        <v>124</v>
      </c>
    </row>
    <row r="136" spans="1:15" x14ac:dyDescent="0.45">
      <c r="A136">
        <f t="shared" si="2"/>
        <v>135</v>
      </c>
      <c r="B136" s="14">
        <v>43201</v>
      </c>
      <c r="C136" s="14">
        <f>EOMONTH(tbl_GLSalesDetail[[#This Row],[Date]],-1)+1</f>
        <v>43191</v>
      </c>
      <c r="D136" s="17">
        <v>1001</v>
      </c>
      <c r="E136" t="s">
        <v>125</v>
      </c>
      <c r="F136" t="s">
        <v>93</v>
      </c>
      <c r="G136" t="s">
        <v>126</v>
      </c>
      <c r="H136" t="s">
        <v>142</v>
      </c>
      <c r="I136" t="s">
        <v>143</v>
      </c>
      <c r="J136" s="18">
        <v>39428.950000000004</v>
      </c>
      <c r="K136" t="s">
        <v>97</v>
      </c>
      <c r="L136" t="s">
        <v>129</v>
      </c>
      <c r="M136" t="s">
        <v>130</v>
      </c>
      <c r="N136" t="s">
        <v>131</v>
      </c>
      <c r="O136" t="s">
        <v>132</v>
      </c>
    </row>
    <row r="137" spans="1:15" x14ac:dyDescent="0.45">
      <c r="A137">
        <f t="shared" si="2"/>
        <v>136</v>
      </c>
      <c r="B137" s="14">
        <v>43201</v>
      </c>
      <c r="C137" s="14">
        <f>EOMONTH(tbl_GLSalesDetail[[#This Row],[Date]],-1)+1</f>
        <v>43191</v>
      </c>
      <c r="D137" s="17">
        <v>1001</v>
      </c>
      <c r="E137" t="s">
        <v>125</v>
      </c>
      <c r="F137" t="s">
        <v>93</v>
      </c>
      <c r="G137" t="s">
        <v>126</v>
      </c>
      <c r="H137" t="s">
        <v>142</v>
      </c>
      <c r="I137" t="s">
        <v>154</v>
      </c>
      <c r="J137" s="18">
        <v>38133.974999999999</v>
      </c>
      <c r="K137" t="s">
        <v>97</v>
      </c>
      <c r="L137" t="s">
        <v>129</v>
      </c>
      <c r="M137" t="s">
        <v>130</v>
      </c>
      <c r="N137" t="s">
        <v>131</v>
      </c>
      <c r="O137" t="s">
        <v>132</v>
      </c>
    </row>
    <row r="138" spans="1:15" x14ac:dyDescent="0.45">
      <c r="A138">
        <f t="shared" si="2"/>
        <v>137</v>
      </c>
      <c r="B138" s="14">
        <v>43201</v>
      </c>
      <c r="C138" s="14">
        <f>EOMONTH(tbl_GLSalesDetail[[#This Row],[Date]],-1)+1</f>
        <v>43191</v>
      </c>
      <c r="D138" s="17">
        <v>1001</v>
      </c>
      <c r="E138" t="s">
        <v>125</v>
      </c>
      <c r="F138" t="s">
        <v>93</v>
      </c>
      <c r="G138" t="s">
        <v>126</v>
      </c>
      <c r="H138" t="s">
        <v>102</v>
      </c>
      <c r="I138" t="s">
        <v>160</v>
      </c>
      <c r="J138" s="18">
        <v>1210.825</v>
      </c>
      <c r="K138" t="s">
        <v>97</v>
      </c>
      <c r="L138" t="s">
        <v>129</v>
      </c>
      <c r="M138" t="s">
        <v>130</v>
      </c>
      <c r="N138" t="s">
        <v>131</v>
      </c>
      <c r="O138" t="s">
        <v>132</v>
      </c>
    </row>
    <row r="139" spans="1:15" x14ac:dyDescent="0.45">
      <c r="A139">
        <f t="shared" si="2"/>
        <v>138</v>
      </c>
      <c r="B139" s="14">
        <v>43201</v>
      </c>
      <c r="C139" s="14">
        <f>EOMONTH(tbl_GLSalesDetail[[#This Row],[Date]],-1)+1</f>
        <v>43191</v>
      </c>
      <c r="D139" s="17">
        <v>1001</v>
      </c>
      <c r="E139" t="s">
        <v>125</v>
      </c>
      <c r="F139" t="s">
        <v>93</v>
      </c>
      <c r="G139" t="s">
        <v>126</v>
      </c>
      <c r="H139" t="s">
        <v>95</v>
      </c>
      <c r="I139" t="s">
        <v>96</v>
      </c>
      <c r="J139" s="18">
        <v>2748.9</v>
      </c>
      <c r="K139" t="s">
        <v>97</v>
      </c>
      <c r="L139" t="s">
        <v>129</v>
      </c>
      <c r="M139" t="s">
        <v>130</v>
      </c>
      <c r="N139" t="s">
        <v>131</v>
      </c>
      <c r="O139" t="s">
        <v>132</v>
      </c>
    </row>
    <row r="140" spans="1:15" x14ac:dyDescent="0.45">
      <c r="A140">
        <f t="shared" si="2"/>
        <v>139</v>
      </c>
      <c r="B140" s="14">
        <v>43201</v>
      </c>
      <c r="C140" s="14">
        <f>EOMONTH(tbl_GLSalesDetail[[#This Row],[Date]],-1)+1</f>
        <v>43191</v>
      </c>
      <c r="D140" s="17">
        <v>1001</v>
      </c>
      <c r="E140" t="s">
        <v>125</v>
      </c>
      <c r="F140" t="s">
        <v>93</v>
      </c>
      <c r="G140" t="s">
        <v>126</v>
      </c>
      <c r="H140" t="s">
        <v>108</v>
      </c>
      <c r="I140" t="s">
        <v>109</v>
      </c>
      <c r="J140" s="18">
        <v>3529.625</v>
      </c>
      <c r="K140" t="s">
        <v>97</v>
      </c>
      <c r="L140" t="s">
        <v>129</v>
      </c>
      <c r="M140" t="s">
        <v>130</v>
      </c>
      <c r="N140" t="s">
        <v>131</v>
      </c>
      <c r="O140" t="s">
        <v>132</v>
      </c>
    </row>
    <row r="141" spans="1:15" x14ac:dyDescent="0.45">
      <c r="A141">
        <f t="shared" si="2"/>
        <v>140</v>
      </c>
      <c r="B141" s="14">
        <v>43201</v>
      </c>
      <c r="C141" s="14">
        <f>EOMONTH(tbl_GLSalesDetail[[#This Row],[Date]],-1)+1</f>
        <v>43191</v>
      </c>
      <c r="D141" s="17">
        <v>1002</v>
      </c>
      <c r="E141" t="s">
        <v>125</v>
      </c>
      <c r="F141" t="s">
        <v>93</v>
      </c>
      <c r="G141" t="s">
        <v>126</v>
      </c>
      <c r="H141" t="s">
        <v>169</v>
      </c>
      <c r="I141" t="s">
        <v>170</v>
      </c>
      <c r="J141" s="18">
        <v>31836.75</v>
      </c>
      <c r="K141" t="s">
        <v>104</v>
      </c>
      <c r="L141" t="s">
        <v>129</v>
      </c>
      <c r="M141" t="s">
        <v>130</v>
      </c>
      <c r="N141" t="s">
        <v>131</v>
      </c>
      <c r="O141" t="s">
        <v>132</v>
      </c>
    </row>
    <row r="142" spans="1:15" x14ac:dyDescent="0.45">
      <c r="A142">
        <f t="shared" si="2"/>
        <v>141</v>
      </c>
      <c r="B142" s="14">
        <v>43201</v>
      </c>
      <c r="C142" s="14">
        <f>EOMONTH(tbl_GLSalesDetail[[#This Row],[Date]],-1)+1</f>
        <v>43191</v>
      </c>
      <c r="D142" s="17">
        <v>1002</v>
      </c>
      <c r="E142" t="s">
        <v>125</v>
      </c>
      <c r="F142" t="s">
        <v>93</v>
      </c>
      <c r="G142" t="s">
        <v>126</v>
      </c>
      <c r="H142" t="s">
        <v>142</v>
      </c>
      <c r="I142" t="s">
        <v>157</v>
      </c>
      <c r="J142" s="18">
        <v>4048.55</v>
      </c>
      <c r="K142" t="s">
        <v>104</v>
      </c>
      <c r="L142" t="s">
        <v>129</v>
      </c>
      <c r="M142" t="s">
        <v>130</v>
      </c>
      <c r="N142" t="s">
        <v>131</v>
      </c>
      <c r="O142" t="s">
        <v>132</v>
      </c>
    </row>
    <row r="143" spans="1:15" x14ac:dyDescent="0.45">
      <c r="A143">
        <f t="shared" si="2"/>
        <v>142</v>
      </c>
      <c r="B143" s="14">
        <v>43201</v>
      </c>
      <c r="C143" s="14">
        <f>EOMONTH(tbl_GLSalesDetail[[#This Row],[Date]],-1)+1</f>
        <v>43191</v>
      </c>
      <c r="D143" s="17">
        <v>1002</v>
      </c>
      <c r="E143" t="s">
        <v>125</v>
      </c>
      <c r="F143" t="s">
        <v>93</v>
      </c>
      <c r="G143" t="s">
        <v>126</v>
      </c>
      <c r="H143" t="s">
        <v>142</v>
      </c>
      <c r="I143" t="s">
        <v>154</v>
      </c>
      <c r="J143" s="18">
        <v>11617.375</v>
      </c>
      <c r="K143" t="s">
        <v>104</v>
      </c>
      <c r="L143" t="s">
        <v>129</v>
      </c>
      <c r="M143" t="s">
        <v>130</v>
      </c>
      <c r="N143" t="s">
        <v>131</v>
      </c>
      <c r="O143" t="s">
        <v>132</v>
      </c>
    </row>
    <row r="144" spans="1:15" x14ac:dyDescent="0.45">
      <c r="A144">
        <f t="shared" si="2"/>
        <v>143</v>
      </c>
      <c r="B144" s="14">
        <v>43201</v>
      </c>
      <c r="C144" s="14">
        <f>EOMONTH(tbl_GLSalesDetail[[#This Row],[Date]],-1)+1</f>
        <v>43191</v>
      </c>
      <c r="D144" s="17">
        <v>1002</v>
      </c>
      <c r="E144" t="s">
        <v>125</v>
      </c>
      <c r="F144" t="s">
        <v>93</v>
      </c>
      <c r="G144" t="s">
        <v>126</v>
      </c>
      <c r="H144" t="s">
        <v>176</v>
      </c>
      <c r="I144" t="s">
        <v>177</v>
      </c>
      <c r="J144" s="18">
        <v>33141.075000000004</v>
      </c>
      <c r="K144" t="s">
        <v>104</v>
      </c>
      <c r="L144" t="s">
        <v>129</v>
      </c>
      <c r="M144" t="s">
        <v>130</v>
      </c>
      <c r="N144" t="s">
        <v>131</v>
      </c>
      <c r="O144" t="s">
        <v>132</v>
      </c>
    </row>
    <row r="145" spans="1:15" x14ac:dyDescent="0.45">
      <c r="A145">
        <f t="shared" si="2"/>
        <v>144</v>
      </c>
      <c r="B145" s="14">
        <v>43205</v>
      </c>
      <c r="C145" s="14">
        <f>EOMONTH(tbl_GLSalesDetail[[#This Row],[Date]],-1)+1</f>
        <v>43191</v>
      </c>
      <c r="D145" s="17">
        <v>1001</v>
      </c>
      <c r="E145" t="s">
        <v>155</v>
      </c>
      <c r="F145" t="s">
        <v>117</v>
      </c>
      <c r="G145" t="s">
        <v>156</v>
      </c>
      <c r="H145" t="s">
        <v>176</v>
      </c>
      <c r="I145" t="s">
        <v>177</v>
      </c>
      <c r="J145" s="18">
        <v>4034.5250000000001</v>
      </c>
      <c r="K145" t="s">
        <v>145</v>
      </c>
      <c r="L145" t="s">
        <v>158</v>
      </c>
      <c r="M145" t="s">
        <v>159</v>
      </c>
      <c r="N145" t="s">
        <v>140</v>
      </c>
      <c r="O145" t="s">
        <v>141</v>
      </c>
    </row>
    <row r="146" spans="1:15" x14ac:dyDescent="0.45">
      <c r="A146">
        <f t="shared" si="2"/>
        <v>145</v>
      </c>
      <c r="B146" s="14">
        <v>43212</v>
      </c>
      <c r="C146" s="14">
        <f>EOMONTH(tbl_GLSalesDetail[[#This Row],[Date]],-1)+1</f>
        <v>43191</v>
      </c>
      <c r="D146" s="17">
        <v>1001</v>
      </c>
      <c r="E146" t="s">
        <v>146</v>
      </c>
      <c r="F146" t="s">
        <v>147</v>
      </c>
      <c r="G146" t="s">
        <v>148</v>
      </c>
      <c r="H146" t="s">
        <v>127</v>
      </c>
      <c r="I146" t="s">
        <v>128</v>
      </c>
      <c r="J146" s="18">
        <v>26741</v>
      </c>
      <c r="K146" t="s">
        <v>145</v>
      </c>
      <c r="L146" t="s">
        <v>150</v>
      </c>
      <c r="M146" t="s">
        <v>151</v>
      </c>
      <c r="N146" t="s">
        <v>152</v>
      </c>
      <c r="O146" t="s">
        <v>153</v>
      </c>
    </row>
    <row r="147" spans="1:15" x14ac:dyDescent="0.45">
      <c r="A147">
        <f t="shared" si="2"/>
        <v>146</v>
      </c>
      <c r="B147" s="14">
        <v>43212</v>
      </c>
      <c r="C147" s="14">
        <f>EOMONTH(tbl_GLSalesDetail[[#This Row],[Date]],-1)+1</f>
        <v>43191</v>
      </c>
      <c r="D147" s="17">
        <v>1001</v>
      </c>
      <c r="E147" t="s">
        <v>146</v>
      </c>
      <c r="F147" t="s">
        <v>147</v>
      </c>
      <c r="G147" t="s">
        <v>148</v>
      </c>
      <c r="H147" t="s">
        <v>127</v>
      </c>
      <c r="I147" t="s">
        <v>128</v>
      </c>
      <c r="J147" s="18">
        <v>29293.550000000003</v>
      </c>
      <c r="K147" t="s">
        <v>97</v>
      </c>
      <c r="L147" t="s">
        <v>150</v>
      </c>
      <c r="M147" t="s">
        <v>151</v>
      </c>
      <c r="N147" t="s">
        <v>152</v>
      </c>
      <c r="O147" t="s">
        <v>153</v>
      </c>
    </row>
    <row r="148" spans="1:15" x14ac:dyDescent="0.45">
      <c r="A148">
        <f t="shared" si="2"/>
        <v>147</v>
      </c>
      <c r="B148" s="14">
        <v>43212</v>
      </c>
      <c r="C148" s="14">
        <f>EOMONTH(tbl_GLSalesDetail[[#This Row],[Date]],-1)+1</f>
        <v>43191</v>
      </c>
      <c r="D148" s="17">
        <v>1001</v>
      </c>
      <c r="E148" t="s">
        <v>146</v>
      </c>
      <c r="F148" t="s">
        <v>147</v>
      </c>
      <c r="G148" t="s">
        <v>148</v>
      </c>
      <c r="H148" t="s">
        <v>127</v>
      </c>
      <c r="I148" t="s">
        <v>128</v>
      </c>
      <c r="J148" s="18">
        <v>25389.925000000003</v>
      </c>
      <c r="K148" t="s">
        <v>97</v>
      </c>
      <c r="L148" t="s">
        <v>150</v>
      </c>
      <c r="M148" t="s">
        <v>151</v>
      </c>
      <c r="N148" t="s">
        <v>152</v>
      </c>
      <c r="O148" t="s">
        <v>153</v>
      </c>
    </row>
    <row r="149" spans="1:15" x14ac:dyDescent="0.45">
      <c r="A149">
        <f t="shared" si="2"/>
        <v>148</v>
      </c>
      <c r="B149" s="14">
        <v>43212</v>
      </c>
      <c r="C149" s="14">
        <f>EOMONTH(tbl_GLSalesDetail[[#This Row],[Date]],-1)+1</f>
        <v>43191</v>
      </c>
      <c r="D149" s="17">
        <v>1001</v>
      </c>
      <c r="E149" t="s">
        <v>146</v>
      </c>
      <c r="F149" t="s">
        <v>147</v>
      </c>
      <c r="G149" t="s">
        <v>148</v>
      </c>
      <c r="H149" t="s">
        <v>119</v>
      </c>
      <c r="I149" t="s">
        <v>120</v>
      </c>
      <c r="J149" s="18">
        <v>45871.100000000006</v>
      </c>
      <c r="K149" t="s">
        <v>97</v>
      </c>
      <c r="L149" t="s">
        <v>150</v>
      </c>
      <c r="M149" t="s">
        <v>151</v>
      </c>
      <c r="N149" t="s">
        <v>152</v>
      </c>
      <c r="O149" t="s">
        <v>153</v>
      </c>
    </row>
    <row r="150" spans="1:15" x14ac:dyDescent="0.45">
      <c r="A150">
        <f t="shared" si="2"/>
        <v>149</v>
      </c>
      <c r="B150" s="14">
        <v>43212</v>
      </c>
      <c r="C150" s="14">
        <f>EOMONTH(tbl_GLSalesDetail[[#This Row],[Date]],-1)+1</f>
        <v>43191</v>
      </c>
      <c r="D150" s="17">
        <v>1002</v>
      </c>
      <c r="E150" t="s">
        <v>146</v>
      </c>
      <c r="F150" t="s">
        <v>147</v>
      </c>
      <c r="G150" t="s">
        <v>148</v>
      </c>
      <c r="H150" t="s">
        <v>119</v>
      </c>
      <c r="I150" t="s">
        <v>120</v>
      </c>
      <c r="J150" s="18">
        <v>23725.625</v>
      </c>
      <c r="K150" t="s">
        <v>104</v>
      </c>
      <c r="L150" t="s">
        <v>150</v>
      </c>
      <c r="M150" t="s">
        <v>151</v>
      </c>
      <c r="N150" t="s">
        <v>152</v>
      </c>
      <c r="O150" t="s">
        <v>153</v>
      </c>
    </row>
    <row r="151" spans="1:15" x14ac:dyDescent="0.45">
      <c r="A151">
        <f t="shared" si="2"/>
        <v>150</v>
      </c>
      <c r="B151" s="14">
        <v>43212</v>
      </c>
      <c r="C151" s="14">
        <f>EOMONTH(tbl_GLSalesDetail[[#This Row],[Date]],-1)+1</f>
        <v>43191</v>
      </c>
      <c r="D151" s="17">
        <v>1002</v>
      </c>
      <c r="E151" t="s">
        <v>146</v>
      </c>
      <c r="F151" t="s">
        <v>147</v>
      </c>
      <c r="G151" t="s">
        <v>148</v>
      </c>
      <c r="H151" t="s">
        <v>119</v>
      </c>
      <c r="I151" t="s">
        <v>120</v>
      </c>
      <c r="J151" s="18">
        <v>16488.725000000002</v>
      </c>
      <c r="K151" t="s">
        <v>104</v>
      </c>
      <c r="L151" t="s">
        <v>150</v>
      </c>
      <c r="M151" t="s">
        <v>151</v>
      </c>
      <c r="N151" t="s">
        <v>152</v>
      </c>
      <c r="O151" t="s">
        <v>153</v>
      </c>
    </row>
    <row r="152" spans="1:15" x14ac:dyDescent="0.45">
      <c r="A152">
        <f t="shared" si="2"/>
        <v>151</v>
      </c>
      <c r="B152" s="14">
        <v>43215</v>
      </c>
      <c r="C152" s="14">
        <f>EOMONTH(tbl_GLSalesDetail[[#This Row],[Date]],-1)+1</f>
        <v>43191</v>
      </c>
      <c r="D152" s="17">
        <v>1001</v>
      </c>
      <c r="E152" t="s">
        <v>92</v>
      </c>
      <c r="F152" t="s">
        <v>93</v>
      </c>
      <c r="G152" t="s">
        <v>94</v>
      </c>
      <c r="H152" t="s">
        <v>169</v>
      </c>
      <c r="I152" t="s">
        <v>170</v>
      </c>
      <c r="J152" s="18">
        <v>10897.425000000001</v>
      </c>
      <c r="K152" t="s">
        <v>145</v>
      </c>
      <c r="L152" t="s">
        <v>98</v>
      </c>
      <c r="M152" t="s">
        <v>99</v>
      </c>
      <c r="N152" t="s">
        <v>100</v>
      </c>
      <c r="O152" t="s">
        <v>101</v>
      </c>
    </row>
    <row r="153" spans="1:15" x14ac:dyDescent="0.45">
      <c r="A153">
        <f t="shared" si="2"/>
        <v>152</v>
      </c>
      <c r="B153" s="14">
        <v>43215</v>
      </c>
      <c r="C153" s="14">
        <f>EOMONTH(tbl_GLSalesDetail[[#This Row],[Date]],-1)+1</f>
        <v>43191</v>
      </c>
      <c r="D153" s="17">
        <v>1001</v>
      </c>
      <c r="E153" t="s">
        <v>92</v>
      </c>
      <c r="F153" t="s">
        <v>93</v>
      </c>
      <c r="G153" t="s">
        <v>94</v>
      </c>
      <c r="H153" t="s">
        <v>169</v>
      </c>
      <c r="I153" t="s">
        <v>170</v>
      </c>
      <c r="J153" s="18">
        <v>2725.5250000000001</v>
      </c>
      <c r="K153" t="s">
        <v>145</v>
      </c>
      <c r="L153" t="s">
        <v>98</v>
      </c>
      <c r="M153" t="s">
        <v>99</v>
      </c>
      <c r="N153" t="s">
        <v>100</v>
      </c>
      <c r="O153" t="s">
        <v>101</v>
      </c>
    </row>
    <row r="154" spans="1:15" x14ac:dyDescent="0.45">
      <c r="A154">
        <f t="shared" si="2"/>
        <v>153</v>
      </c>
      <c r="B154" s="14">
        <v>43215</v>
      </c>
      <c r="C154" s="14">
        <f>EOMONTH(tbl_GLSalesDetail[[#This Row],[Date]],-1)+1</f>
        <v>43191</v>
      </c>
      <c r="D154" s="17">
        <v>1002</v>
      </c>
      <c r="E154" t="s">
        <v>92</v>
      </c>
      <c r="F154" t="s">
        <v>93</v>
      </c>
      <c r="G154" t="s">
        <v>94</v>
      </c>
      <c r="H154" t="s">
        <v>169</v>
      </c>
      <c r="I154" t="s">
        <v>170</v>
      </c>
      <c r="J154" s="18">
        <v>44253.55</v>
      </c>
      <c r="K154" t="s">
        <v>104</v>
      </c>
      <c r="L154" t="s">
        <v>98</v>
      </c>
      <c r="M154" t="s">
        <v>99</v>
      </c>
      <c r="N154" t="s">
        <v>100</v>
      </c>
      <c r="O154" t="s">
        <v>101</v>
      </c>
    </row>
    <row r="155" spans="1:15" x14ac:dyDescent="0.45">
      <c r="A155">
        <f t="shared" si="2"/>
        <v>154</v>
      </c>
      <c r="B155" s="14">
        <v>43215</v>
      </c>
      <c r="C155" s="14">
        <f>EOMONTH(tbl_GLSalesDetail[[#This Row],[Date]],-1)+1</f>
        <v>43191</v>
      </c>
      <c r="D155" s="17">
        <v>1002</v>
      </c>
      <c r="E155" t="s">
        <v>92</v>
      </c>
      <c r="F155" t="s">
        <v>93</v>
      </c>
      <c r="G155" t="s">
        <v>94</v>
      </c>
      <c r="H155" t="s">
        <v>178</v>
      </c>
      <c r="I155" t="s">
        <v>179</v>
      </c>
      <c r="J155" s="18">
        <v>23403.050000000003</v>
      </c>
      <c r="K155" t="s">
        <v>104</v>
      </c>
      <c r="L155" t="s">
        <v>98</v>
      </c>
      <c r="M155" t="s">
        <v>99</v>
      </c>
      <c r="N155" t="s">
        <v>100</v>
      </c>
      <c r="O155" t="s">
        <v>101</v>
      </c>
    </row>
    <row r="156" spans="1:15" x14ac:dyDescent="0.45">
      <c r="A156">
        <f t="shared" si="2"/>
        <v>155</v>
      </c>
      <c r="B156" s="14">
        <v>43215</v>
      </c>
      <c r="C156" s="14">
        <f>EOMONTH(tbl_GLSalesDetail[[#This Row],[Date]],-1)+1</f>
        <v>43191</v>
      </c>
      <c r="D156" s="17">
        <v>1002</v>
      </c>
      <c r="E156" t="s">
        <v>92</v>
      </c>
      <c r="F156" t="s">
        <v>93</v>
      </c>
      <c r="G156" t="s">
        <v>94</v>
      </c>
      <c r="H156" t="s">
        <v>178</v>
      </c>
      <c r="I156" t="s">
        <v>179</v>
      </c>
      <c r="J156" s="18">
        <v>44964.15</v>
      </c>
      <c r="K156" t="s">
        <v>104</v>
      </c>
      <c r="L156" t="s">
        <v>98</v>
      </c>
      <c r="M156" t="s">
        <v>99</v>
      </c>
      <c r="N156" t="s">
        <v>100</v>
      </c>
      <c r="O156" t="s">
        <v>101</v>
      </c>
    </row>
    <row r="157" spans="1:15" x14ac:dyDescent="0.45">
      <c r="A157">
        <f t="shared" si="2"/>
        <v>156</v>
      </c>
      <c r="B157" s="14">
        <v>43215</v>
      </c>
      <c r="C157" s="14">
        <f>EOMONTH(tbl_GLSalesDetail[[#This Row],[Date]],-1)+1</f>
        <v>43191</v>
      </c>
      <c r="D157" s="17">
        <v>1002</v>
      </c>
      <c r="E157" t="s">
        <v>92</v>
      </c>
      <c r="F157" t="s">
        <v>93</v>
      </c>
      <c r="G157" t="s">
        <v>94</v>
      </c>
      <c r="H157" t="s">
        <v>178</v>
      </c>
      <c r="I157" t="s">
        <v>179</v>
      </c>
      <c r="J157" s="18">
        <v>43398.025000000001</v>
      </c>
      <c r="K157" t="s">
        <v>104</v>
      </c>
      <c r="L157" t="s">
        <v>98</v>
      </c>
      <c r="M157" t="s">
        <v>99</v>
      </c>
      <c r="N157" t="s">
        <v>100</v>
      </c>
      <c r="O157" t="s">
        <v>101</v>
      </c>
    </row>
    <row r="158" spans="1:15" x14ac:dyDescent="0.45">
      <c r="A158">
        <f t="shared" si="2"/>
        <v>157</v>
      </c>
      <c r="B158" s="14">
        <v>43220</v>
      </c>
      <c r="C158" s="14">
        <f>EOMONTH(tbl_GLSalesDetail[[#This Row],[Date]],-1)+1</f>
        <v>43191</v>
      </c>
      <c r="D158" s="17">
        <v>1001</v>
      </c>
      <c r="E158" t="s">
        <v>136</v>
      </c>
      <c r="F158" t="s">
        <v>106</v>
      </c>
      <c r="G158" t="s">
        <v>162</v>
      </c>
      <c r="H158" t="s">
        <v>134</v>
      </c>
      <c r="I158" t="s">
        <v>135</v>
      </c>
      <c r="J158" s="18">
        <v>21930.425000000003</v>
      </c>
      <c r="K158" t="s">
        <v>145</v>
      </c>
      <c r="L158" t="s">
        <v>165</v>
      </c>
      <c r="M158" t="s">
        <v>166</v>
      </c>
      <c r="N158" t="s">
        <v>167</v>
      </c>
      <c r="O158" t="s">
        <v>168</v>
      </c>
    </row>
    <row r="159" spans="1:15" x14ac:dyDescent="0.45">
      <c r="A159">
        <f t="shared" si="2"/>
        <v>158</v>
      </c>
      <c r="B159" s="14">
        <v>43220</v>
      </c>
      <c r="C159" s="14">
        <f>EOMONTH(tbl_GLSalesDetail[[#This Row],[Date]],-1)+1</f>
        <v>43191</v>
      </c>
      <c r="D159" s="17">
        <v>1001</v>
      </c>
      <c r="E159" t="s">
        <v>136</v>
      </c>
      <c r="F159" t="s">
        <v>106</v>
      </c>
      <c r="G159" t="s">
        <v>162</v>
      </c>
      <c r="H159" t="s">
        <v>134</v>
      </c>
      <c r="I159" t="s">
        <v>135</v>
      </c>
      <c r="J159" s="18">
        <v>26465.175000000003</v>
      </c>
      <c r="K159" t="s">
        <v>97</v>
      </c>
      <c r="L159" t="s">
        <v>165</v>
      </c>
      <c r="M159" t="s">
        <v>166</v>
      </c>
      <c r="N159" t="s">
        <v>167</v>
      </c>
      <c r="O159" t="s">
        <v>168</v>
      </c>
    </row>
    <row r="160" spans="1:15" x14ac:dyDescent="0.45">
      <c r="A160">
        <f t="shared" si="2"/>
        <v>159</v>
      </c>
      <c r="B160" s="14">
        <v>43220</v>
      </c>
      <c r="C160" s="14">
        <f>EOMONTH(tbl_GLSalesDetail[[#This Row],[Date]],-1)+1</f>
        <v>43191</v>
      </c>
      <c r="D160" s="17">
        <v>1002</v>
      </c>
      <c r="E160" t="s">
        <v>136</v>
      </c>
      <c r="F160" t="s">
        <v>106</v>
      </c>
      <c r="G160" t="s">
        <v>162</v>
      </c>
      <c r="H160" t="s">
        <v>134</v>
      </c>
      <c r="I160" t="s">
        <v>135</v>
      </c>
      <c r="J160" s="18">
        <v>15736.050000000001</v>
      </c>
      <c r="K160" t="s">
        <v>104</v>
      </c>
      <c r="L160" t="s">
        <v>165</v>
      </c>
      <c r="M160" t="s">
        <v>166</v>
      </c>
      <c r="N160" t="s">
        <v>167</v>
      </c>
      <c r="O160" t="s">
        <v>168</v>
      </c>
    </row>
    <row r="161" spans="1:15" x14ac:dyDescent="0.45">
      <c r="A161">
        <f t="shared" si="2"/>
        <v>160</v>
      </c>
      <c r="B161" s="14">
        <v>43224</v>
      </c>
      <c r="C161" s="14">
        <f>EOMONTH(tbl_GLSalesDetail[[#This Row],[Date]],-1)+1</f>
        <v>43221</v>
      </c>
      <c r="D161" s="17">
        <v>1001</v>
      </c>
      <c r="E161" t="s">
        <v>136</v>
      </c>
      <c r="F161" t="s">
        <v>106</v>
      </c>
      <c r="G161" t="s">
        <v>137</v>
      </c>
      <c r="H161" t="s">
        <v>169</v>
      </c>
      <c r="I161" t="s">
        <v>186</v>
      </c>
      <c r="J161" s="18">
        <v>43846.825000000004</v>
      </c>
      <c r="K161" t="s">
        <v>145</v>
      </c>
      <c r="L161" t="s">
        <v>138</v>
      </c>
      <c r="M161" t="s">
        <v>139</v>
      </c>
      <c r="N161" t="s">
        <v>140</v>
      </c>
      <c r="O161" t="s">
        <v>141</v>
      </c>
    </row>
    <row r="162" spans="1:15" x14ac:dyDescent="0.45">
      <c r="A162">
        <f t="shared" si="2"/>
        <v>161</v>
      </c>
      <c r="B162" s="14">
        <v>43224</v>
      </c>
      <c r="C162" s="14">
        <f>EOMONTH(tbl_GLSalesDetail[[#This Row],[Date]],-1)+1</f>
        <v>43221</v>
      </c>
      <c r="D162" s="17">
        <v>1001</v>
      </c>
      <c r="E162" t="s">
        <v>116</v>
      </c>
      <c r="F162" t="s">
        <v>117</v>
      </c>
      <c r="G162" t="s">
        <v>187</v>
      </c>
      <c r="H162" t="s">
        <v>134</v>
      </c>
      <c r="I162" t="s">
        <v>135</v>
      </c>
      <c r="J162" s="18">
        <v>9345.3250000000007</v>
      </c>
      <c r="K162" t="s">
        <v>97</v>
      </c>
      <c r="L162" t="s">
        <v>188</v>
      </c>
      <c r="M162" t="s">
        <v>189</v>
      </c>
      <c r="N162" t="s">
        <v>190</v>
      </c>
      <c r="O162" t="s">
        <v>191</v>
      </c>
    </row>
    <row r="163" spans="1:15" x14ac:dyDescent="0.45">
      <c r="A163">
        <f t="shared" si="2"/>
        <v>162</v>
      </c>
      <c r="B163" s="14">
        <v>43224</v>
      </c>
      <c r="C163" s="14">
        <f>EOMONTH(tbl_GLSalesDetail[[#This Row],[Date]],-1)+1</f>
        <v>43221</v>
      </c>
      <c r="D163" s="17">
        <v>1001</v>
      </c>
      <c r="E163" t="s">
        <v>146</v>
      </c>
      <c r="F163" t="s">
        <v>147</v>
      </c>
      <c r="G163" t="s">
        <v>148</v>
      </c>
      <c r="H163" t="s">
        <v>102</v>
      </c>
      <c r="I163" t="s">
        <v>160</v>
      </c>
      <c r="J163" s="18">
        <v>16039.925000000001</v>
      </c>
      <c r="K163" t="s">
        <v>97</v>
      </c>
      <c r="L163" t="s">
        <v>150</v>
      </c>
      <c r="M163" t="s">
        <v>151</v>
      </c>
      <c r="N163" t="s">
        <v>152</v>
      </c>
      <c r="O163" t="s">
        <v>153</v>
      </c>
    </row>
    <row r="164" spans="1:15" x14ac:dyDescent="0.45">
      <c r="A164">
        <f t="shared" si="2"/>
        <v>163</v>
      </c>
      <c r="B164" s="14">
        <v>43224</v>
      </c>
      <c r="C164" s="14">
        <f>EOMONTH(tbl_GLSalesDetail[[#This Row],[Date]],-1)+1</f>
        <v>43221</v>
      </c>
      <c r="D164" s="17">
        <v>1001</v>
      </c>
      <c r="E164" t="s">
        <v>116</v>
      </c>
      <c r="F164" t="s">
        <v>117</v>
      </c>
      <c r="G164" t="s">
        <v>118</v>
      </c>
      <c r="H164" t="s">
        <v>108</v>
      </c>
      <c r="I164" t="s">
        <v>109</v>
      </c>
      <c r="J164" s="18">
        <v>34351.9</v>
      </c>
      <c r="K164" t="s">
        <v>97</v>
      </c>
      <c r="L164" t="s">
        <v>121</v>
      </c>
      <c r="M164" t="s">
        <v>122</v>
      </c>
      <c r="N164" t="s">
        <v>123</v>
      </c>
      <c r="O164" t="s">
        <v>124</v>
      </c>
    </row>
    <row r="165" spans="1:15" x14ac:dyDescent="0.45">
      <c r="A165">
        <f t="shared" si="2"/>
        <v>164</v>
      </c>
      <c r="B165" s="14">
        <v>43224</v>
      </c>
      <c r="C165" s="14">
        <f>EOMONTH(tbl_GLSalesDetail[[#This Row],[Date]],-1)+1</f>
        <v>43221</v>
      </c>
      <c r="D165" s="17">
        <v>1002</v>
      </c>
      <c r="E165" t="s">
        <v>116</v>
      </c>
      <c r="F165" t="s">
        <v>117</v>
      </c>
      <c r="G165" t="s">
        <v>194</v>
      </c>
      <c r="H165" t="s">
        <v>163</v>
      </c>
      <c r="I165" t="s">
        <v>185</v>
      </c>
      <c r="J165" s="18">
        <v>15927.725</v>
      </c>
      <c r="K165" t="s">
        <v>104</v>
      </c>
      <c r="L165" t="s">
        <v>195</v>
      </c>
      <c r="M165" t="s">
        <v>196</v>
      </c>
      <c r="N165" t="s">
        <v>131</v>
      </c>
      <c r="O165" t="s">
        <v>132</v>
      </c>
    </row>
    <row r="166" spans="1:15" x14ac:dyDescent="0.45">
      <c r="A166">
        <f t="shared" si="2"/>
        <v>165</v>
      </c>
      <c r="B166" s="14">
        <v>43224</v>
      </c>
      <c r="C166" s="14">
        <f>EOMONTH(tbl_GLSalesDetail[[#This Row],[Date]],-1)+1</f>
        <v>43221</v>
      </c>
      <c r="D166" s="17">
        <v>1002</v>
      </c>
      <c r="E166" t="s">
        <v>92</v>
      </c>
      <c r="F166" t="s">
        <v>93</v>
      </c>
      <c r="G166" t="s">
        <v>94</v>
      </c>
      <c r="H166" t="s">
        <v>102</v>
      </c>
      <c r="I166" t="s">
        <v>103</v>
      </c>
      <c r="J166" s="18">
        <v>12664.575000000001</v>
      </c>
      <c r="K166" t="s">
        <v>104</v>
      </c>
      <c r="L166" t="s">
        <v>98</v>
      </c>
      <c r="M166" t="s">
        <v>99</v>
      </c>
      <c r="N166" t="s">
        <v>100</v>
      </c>
      <c r="O166" t="s">
        <v>101</v>
      </c>
    </row>
    <row r="167" spans="1:15" x14ac:dyDescent="0.45">
      <c r="A167">
        <f t="shared" si="2"/>
        <v>166</v>
      </c>
      <c r="B167" s="14">
        <v>43224</v>
      </c>
      <c r="C167" s="14">
        <f>EOMONTH(tbl_GLSalesDetail[[#This Row],[Date]],-1)+1</f>
        <v>43221</v>
      </c>
      <c r="D167" s="17">
        <v>1002</v>
      </c>
      <c r="E167" t="s">
        <v>92</v>
      </c>
      <c r="F167" t="s">
        <v>93</v>
      </c>
      <c r="G167" t="s">
        <v>94</v>
      </c>
      <c r="H167" t="s">
        <v>134</v>
      </c>
      <c r="I167" t="s">
        <v>135</v>
      </c>
      <c r="J167" s="18">
        <v>23314.225000000002</v>
      </c>
      <c r="K167" t="s">
        <v>104</v>
      </c>
      <c r="L167" t="s">
        <v>98</v>
      </c>
      <c r="M167" t="s">
        <v>99</v>
      </c>
      <c r="N167" t="s">
        <v>100</v>
      </c>
      <c r="O167" t="s">
        <v>101</v>
      </c>
    </row>
    <row r="168" spans="1:15" x14ac:dyDescent="0.45">
      <c r="A168">
        <f t="shared" si="2"/>
        <v>167</v>
      </c>
      <c r="B168" s="14">
        <v>43226</v>
      </c>
      <c r="C168" s="14">
        <f>EOMONTH(tbl_GLSalesDetail[[#This Row],[Date]],-1)+1</f>
        <v>43221</v>
      </c>
      <c r="D168" s="17">
        <v>1001</v>
      </c>
      <c r="E168" t="s">
        <v>136</v>
      </c>
      <c r="F168" t="s">
        <v>106</v>
      </c>
      <c r="G168" t="s">
        <v>137</v>
      </c>
      <c r="H168" t="s">
        <v>169</v>
      </c>
      <c r="I168" t="s">
        <v>186</v>
      </c>
      <c r="J168" s="18">
        <v>43846.825000000004</v>
      </c>
      <c r="K168" t="s">
        <v>145</v>
      </c>
      <c r="L168" t="s">
        <v>138</v>
      </c>
      <c r="M168" t="s">
        <v>139</v>
      </c>
      <c r="N168" t="s">
        <v>140</v>
      </c>
      <c r="O168" t="s">
        <v>141</v>
      </c>
    </row>
    <row r="169" spans="1:15" x14ac:dyDescent="0.45">
      <c r="A169">
        <f t="shared" si="2"/>
        <v>168</v>
      </c>
      <c r="B169" s="14">
        <v>43226</v>
      </c>
      <c r="C169" s="14">
        <f>EOMONTH(tbl_GLSalesDetail[[#This Row],[Date]],-1)+1</f>
        <v>43221</v>
      </c>
      <c r="D169" s="17">
        <v>1001</v>
      </c>
      <c r="E169" t="s">
        <v>155</v>
      </c>
      <c r="F169" t="s">
        <v>117</v>
      </c>
      <c r="G169" t="s">
        <v>156</v>
      </c>
      <c r="H169" t="s">
        <v>169</v>
      </c>
      <c r="I169" t="s">
        <v>186</v>
      </c>
      <c r="J169" s="18">
        <v>20841.150000000001</v>
      </c>
      <c r="K169" t="s">
        <v>97</v>
      </c>
      <c r="L169" t="s">
        <v>158</v>
      </c>
      <c r="M169" t="s">
        <v>159</v>
      </c>
      <c r="N169" t="s">
        <v>140</v>
      </c>
      <c r="O169" t="s">
        <v>141</v>
      </c>
    </row>
    <row r="170" spans="1:15" x14ac:dyDescent="0.45">
      <c r="A170">
        <f t="shared" si="2"/>
        <v>169</v>
      </c>
      <c r="B170" s="14">
        <v>43226</v>
      </c>
      <c r="C170" s="14">
        <f>EOMONTH(tbl_GLSalesDetail[[#This Row],[Date]],-1)+1</f>
        <v>43221</v>
      </c>
      <c r="D170" s="17">
        <v>1001</v>
      </c>
      <c r="E170" t="s">
        <v>155</v>
      </c>
      <c r="F170" t="s">
        <v>117</v>
      </c>
      <c r="G170" t="s">
        <v>156</v>
      </c>
      <c r="H170" t="s">
        <v>142</v>
      </c>
      <c r="I170" t="s">
        <v>149</v>
      </c>
      <c r="J170" s="18">
        <v>3987.7750000000001</v>
      </c>
      <c r="K170" t="s">
        <v>97</v>
      </c>
      <c r="L170" t="s">
        <v>158</v>
      </c>
      <c r="M170" t="s">
        <v>159</v>
      </c>
      <c r="N170" t="s">
        <v>140</v>
      </c>
      <c r="O170" t="s">
        <v>141</v>
      </c>
    </row>
    <row r="171" spans="1:15" x14ac:dyDescent="0.45">
      <c r="A171">
        <f t="shared" si="2"/>
        <v>170</v>
      </c>
      <c r="B171" s="14">
        <v>43226</v>
      </c>
      <c r="C171" s="14">
        <f>EOMONTH(tbl_GLSalesDetail[[#This Row],[Date]],-1)+1</f>
        <v>43221</v>
      </c>
      <c r="D171" s="17">
        <v>1001</v>
      </c>
      <c r="E171" t="s">
        <v>155</v>
      </c>
      <c r="F171" t="s">
        <v>117</v>
      </c>
      <c r="G171" t="s">
        <v>156</v>
      </c>
      <c r="H171" t="s">
        <v>176</v>
      </c>
      <c r="I171" t="s">
        <v>177</v>
      </c>
      <c r="J171" s="18">
        <v>19887.45</v>
      </c>
      <c r="K171" t="s">
        <v>97</v>
      </c>
      <c r="L171" t="s">
        <v>158</v>
      </c>
      <c r="M171" t="s">
        <v>159</v>
      </c>
      <c r="N171" t="s">
        <v>140</v>
      </c>
      <c r="O171" t="s">
        <v>141</v>
      </c>
    </row>
    <row r="172" spans="1:15" x14ac:dyDescent="0.45">
      <c r="A172">
        <f t="shared" si="2"/>
        <v>171</v>
      </c>
      <c r="B172" s="14">
        <v>43226</v>
      </c>
      <c r="C172" s="14">
        <f>EOMONTH(tbl_GLSalesDetail[[#This Row],[Date]],-1)+1</f>
        <v>43221</v>
      </c>
      <c r="D172" s="17">
        <v>1002</v>
      </c>
      <c r="E172" t="s">
        <v>146</v>
      </c>
      <c r="F172" t="s">
        <v>147</v>
      </c>
      <c r="G172" t="s">
        <v>148</v>
      </c>
      <c r="H172" t="s">
        <v>119</v>
      </c>
      <c r="I172" t="s">
        <v>120</v>
      </c>
      <c r="J172" s="18">
        <v>4913.4250000000002</v>
      </c>
      <c r="K172" t="s">
        <v>104</v>
      </c>
      <c r="L172" t="s">
        <v>150</v>
      </c>
      <c r="M172" t="s">
        <v>151</v>
      </c>
      <c r="N172" t="s">
        <v>152</v>
      </c>
      <c r="O172" t="s">
        <v>153</v>
      </c>
    </row>
    <row r="173" spans="1:15" x14ac:dyDescent="0.45">
      <c r="A173">
        <f t="shared" si="2"/>
        <v>172</v>
      </c>
      <c r="B173" s="14">
        <v>43227</v>
      </c>
      <c r="C173" s="14">
        <f>EOMONTH(tbl_GLSalesDetail[[#This Row],[Date]],-1)+1</f>
        <v>43221</v>
      </c>
      <c r="D173" s="17">
        <v>1002</v>
      </c>
      <c r="E173" t="s">
        <v>146</v>
      </c>
      <c r="F173" t="s">
        <v>147</v>
      </c>
      <c r="G173" t="s">
        <v>148</v>
      </c>
      <c r="H173" t="s">
        <v>142</v>
      </c>
      <c r="I173" t="s">
        <v>149</v>
      </c>
      <c r="J173" s="18">
        <v>7751.1500000000005</v>
      </c>
      <c r="K173" t="s">
        <v>104</v>
      </c>
      <c r="L173" t="s">
        <v>150</v>
      </c>
      <c r="M173" t="s">
        <v>151</v>
      </c>
      <c r="N173" t="s">
        <v>152</v>
      </c>
      <c r="O173" t="s">
        <v>153</v>
      </c>
    </row>
    <row r="174" spans="1:15" x14ac:dyDescent="0.45">
      <c r="A174">
        <f t="shared" si="2"/>
        <v>173</v>
      </c>
      <c r="B174" s="14">
        <v>43229</v>
      </c>
      <c r="C174" s="14">
        <f>EOMONTH(tbl_GLSalesDetail[[#This Row],[Date]],-1)+1</f>
        <v>43221</v>
      </c>
      <c r="D174" s="17">
        <v>1002</v>
      </c>
      <c r="E174" t="s">
        <v>92</v>
      </c>
      <c r="F174" t="s">
        <v>93</v>
      </c>
      <c r="G174" t="s">
        <v>94</v>
      </c>
      <c r="H174" t="s">
        <v>134</v>
      </c>
      <c r="I174" t="s">
        <v>135</v>
      </c>
      <c r="J174" s="18">
        <v>37418.700000000004</v>
      </c>
      <c r="K174" t="s">
        <v>104</v>
      </c>
      <c r="L174" t="s">
        <v>98</v>
      </c>
      <c r="M174" t="s">
        <v>99</v>
      </c>
      <c r="N174" t="s">
        <v>100</v>
      </c>
      <c r="O174" t="s">
        <v>101</v>
      </c>
    </row>
    <row r="175" spans="1:15" x14ac:dyDescent="0.45">
      <c r="A175">
        <f t="shared" si="2"/>
        <v>174</v>
      </c>
      <c r="B175" s="14">
        <v>43238</v>
      </c>
      <c r="C175" s="14">
        <f>EOMONTH(tbl_GLSalesDetail[[#This Row],[Date]],-1)+1</f>
        <v>43221</v>
      </c>
      <c r="D175" s="17">
        <v>1001</v>
      </c>
      <c r="E175" t="s">
        <v>116</v>
      </c>
      <c r="F175" t="s">
        <v>117</v>
      </c>
      <c r="G175" t="s">
        <v>118</v>
      </c>
      <c r="H175" t="s">
        <v>192</v>
      </c>
      <c r="I175" t="s">
        <v>193</v>
      </c>
      <c r="J175" s="18">
        <v>18073.55</v>
      </c>
      <c r="K175" t="s">
        <v>97</v>
      </c>
      <c r="L175" t="s">
        <v>121</v>
      </c>
      <c r="M175" t="s">
        <v>122</v>
      </c>
      <c r="N175" t="s">
        <v>123</v>
      </c>
      <c r="O175" t="s">
        <v>124</v>
      </c>
    </row>
    <row r="176" spans="1:15" x14ac:dyDescent="0.45">
      <c r="A176">
        <f t="shared" si="2"/>
        <v>175</v>
      </c>
      <c r="B176" s="14">
        <v>43243</v>
      </c>
      <c r="C176" s="14">
        <f>EOMONTH(tbl_GLSalesDetail[[#This Row],[Date]],-1)+1</f>
        <v>43221</v>
      </c>
      <c r="D176" s="17">
        <v>1001</v>
      </c>
      <c r="E176" t="s">
        <v>136</v>
      </c>
      <c r="F176" t="s">
        <v>106</v>
      </c>
      <c r="G176" t="s">
        <v>137</v>
      </c>
      <c r="H176" t="s">
        <v>142</v>
      </c>
      <c r="I176" t="s">
        <v>149</v>
      </c>
      <c r="J176" s="18">
        <v>43846.825000000004</v>
      </c>
      <c r="K176" t="s">
        <v>145</v>
      </c>
      <c r="L176" t="s">
        <v>138</v>
      </c>
      <c r="M176" t="s">
        <v>139</v>
      </c>
      <c r="N176" t="s">
        <v>140</v>
      </c>
      <c r="O176" t="s">
        <v>141</v>
      </c>
    </row>
    <row r="177" spans="1:15" x14ac:dyDescent="0.45">
      <c r="A177">
        <f t="shared" si="2"/>
        <v>176</v>
      </c>
      <c r="B177" s="14">
        <v>43244</v>
      </c>
      <c r="C177" s="14">
        <f>EOMONTH(tbl_GLSalesDetail[[#This Row],[Date]],-1)+1</f>
        <v>43221</v>
      </c>
      <c r="D177" s="17">
        <v>1001</v>
      </c>
      <c r="E177" t="s">
        <v>105</v>
      </c>
      <c r="F177" t="s">
        <v>106</v>
      </c>
      <c r="G177" t="s">
        <v>202</v>
      </c>
      <c r="H177" t="s">
        <v>178</v>
      </c>
      <c r="I177" t="s">
        <v>179</v>
      </c>
      <c r="J177" s="18">
        <v>14712.225</v>
      </c>
      <c r="K177" t="s">
        <v>145</v>
      </c>
      <c r="L177" t="s">
        <v>203</v>
      </c>
      <c r="M177" t="s">
        <v>204</v>
      </c>
      <c r="N177" t="s">
        <v>112</v>
      </c>
      <c r="O177" t="s">
        <v>113</v>
      </c>
    </row>
    <row r="178" spans="1:15" x14ac:dyDescent="0.45">
      <c r="A178">
        <f t="shared" si="2"/>
        <v>177</v>
      </c>
      <c r="B178" s="14">
        <v>43244</v>
      </c>
      <c r="C178" s="14">
        <f>EOMONTH(tbl_GLSalesDetail[[#This Row],[Date]],-1)+1</f>
        <v>43221</v>
      </c>
      <c r="D178" s="17">
        <v>1001</v>
      </c>
      <c r="E178" t="s">
        <v>125</v>
      </c>
      <c r="F178" t="s">
        <v>93</v>
      </c>
      <c r="G178" t="s">
        <v>126</v>
      </c>
      <c r="H178" t="s">
        <v>142</v>
      </c>
      <c r="I178" t="s">
        <v>143</v>
      </c>
      <c r="J178" s="18">
        <v>38783.800000000003</v>
      </c>
      <c r="K178" t="s">
        <v>145</v>
      </c>
      <c r="L178" t="s">
        <v>129</v>
      </c>
      <c r="M178" t="s">
        <v>130</v>
      </c>
      <c r="N178" t="s">
        <v>131</v>
      </c>
      <c r="O178" t="s">
        <v>132</v>
      </c>
    </row>
    <row r="179" spans="1:15" x14ac:dyDescent="0.45">
      <c r="A179">
        <f t="shared" si="2"/>
        <v>178</v>
      </c>
      <c r="B179" s="14">
        <v>43244</v>
      </c>
      <c r="C179" s="14">
        <f>EOMONTH(tbl_GLSalesDetail[[#This Row],[Date]],-1)+1</f>
        <v>43221</v>
      </c>
      <c r="D179" s="17">
        <v>1001</v>
      </c>
      <c r="E179" t="s">
        <v>105</v>
      </c>
      <c r="F179" t="s">
        <v>106</v>
      </c>
      <c r="G179" t="s">
        <v>197</v>
      </c>
      <c r="H179" t="s">
        <v>192</v>
      </c>
      <c r="I179" t="s">
        <v>193</v>
      </c>
      <c r="J179" s="18">
        <v>38886.65</v>
      </c>
      <c r="K179" t="s">
        <v>145</v>
      </c>
      <c r="L179" t="s">
        <v>198</v>
      </c>
      <c r="M179" t="s">
        <v>199</v>
      </c>
      <c r="N179" t="s">
        <v>200</v>
      </c>
      <c r="O179" t="s">
        <v>201</v>
      </c>
    </row>
    <row r="180" spans="1:15" x14ac:dyDescent="0.45">
      <c r="A180">
        <f t="shared" si="2"/>
        <v>179</v>
      </c>
      <c r="B180" s="14">
        <v>43244</v>
      </c>
      <c r="C180" s="14">
        <f>EOMONTH(tbl_GLSalesDetail[[#This Row],[Date]],-1)+1</f>
        <v>43221</v>
      </c>
      <c r="D180" s="17">
        <v>1001</v>
      </c>
      <c r="E180" t="s">
        <v>105</v>
      </c>
      <c r="F180" t="s">
        <v>106</v>
      </c>
      <c r="G180" t="s">
        <v>202</v>
      </c>
      <c r="H180" t="s">
        <v>178</v>
      </c>
      <c r="I180" t="s">
        <v>179</v>
      </c>
      <c r="J180" s="18">
        <v>12472.900000000001</v>
      </c>
      <c r="K180" t="s">
        <v>145</v>
      </c>
      <c r="L180" t="s">
        <v>203</v>
      </c>
      <c r="M180" t="s">
        <v>204</v>
      </c>
      <c r="N180" t="s">
        <v>112</v>
      </c>
      <c r="O180" t="s">
        <v>113</v>
      </c>
    </row>
    <row r="181" spans="1:15" x14ac:dyDescent="0.45">
      <c r="A181">
        <f t="shared" si="2"/>
        <v>180</v>
      </c>
      <c r="B181" s="14">
        <v>43244</v>
      </c>
      <c r="C181" s="14">
        <f>EOMONTH(tbl_GLSalesDetail[[#This Row],[Date]],-1)+1</f>
        <v>43221</v>
      </c>
      <c r="D181" s="17">
        <v>1001</v>
      </c>
      <c r="E181" t="s">
        <v>105</v>
      </c>
      <c r="F181" t="s">
        <v>106</v>
      </c>
      <c r="G181" t="s">
        <v>197</v>
      </c>
      <c r="H181" t="s">
        <v>192</v>
      </c>
      <c r="I181" t="s">
        <v>193</v>
      </c>
      <c r="J181" s="18">
        <v>2557.2250000000004</v>
      </c>
      <c r="K181" t="s">
        <v>145</v>
      </c>
      <c r="L181" t="s">
        <v>198</v>
      </c>
      <c r="M181" t="s">
        <v>199</v>
      </c>
      <c r="N181" t="s">
        <v>200</v>
      </c>
      <c r="O181" t="s">
        <v>201</v>
      </c>
    </row>
    <row r="182" spans="1:15" x14ac:dyDescent="0.45">
      <c r="A182">
        <f t="shared" si="2"/>
        <v>181</v>
      </c>
      <c r="B182" s="14">
        <v>43244</v>
      </c>
      <c r="C182" s="14">
        <f>EOMONTH(tbl_GLSalesDetail[[#This Row],[Date]],-1)+1</f>
        <v>43221</v>
      </c>
      <c r="D182" s="17">
        <v>1001</v>
      </c>
      <c r="E182" t="s">
        <v>125</v>
      </c>
      <c r="F182" t="s">
        <v>93</v>
      </c>
      <c r="G182" t="s">
        <v>126</v>
      </c>
      <c r="H182" t="s">
        <v>142</v>
      </c>
      <c r="I182" t="s">
        <v>143</v>
      </c>
      <c r="J182" s="18">
        <v>11402.325000000001</v>
      </c>
      <c r="K182" t="s">
        <v>145</v>
      </c>
      <c r="L182" t="s">
        <v>129</v>
      </c>
      <c r="M182" t="s">
        <v>130</v>
      </c>
      <c r="N182" t="s">
        <v>131</v>
      </c>
      <c r="O182" t="s">
        <v>132</v>
      </c>
    </row>
    <row r="183" spans="1:15" x14ac:dyDescent="0.45">
      <c r="A183">
        <f t="shared" si="2"/>
        <v>182</v>
      </c>
      <c r="B183" s="14">
        <v>43244</v>
      </c>
      <c r="C183" s="14">
        <f>EOMONTH(tbl_GLSalesDetail[[#This Row],[Date]],-1)+1</f>
        <v>43221</v>
      </c>
      <c r="D183" s="17">
        <v>1001</v>
      </c>
      <c r="E183" t="s">
        <v>105</v>
      </c>
      <c r="F183" t="s">
        <v>106</v>
      </c>
      <c r="G183" t="s">
        <v>197</v>
      </c>
      <c r="H183" t="s">
        <v>192</v>
      </c>
      <c r="I183" t="s">
        <v>193</v>
      </c>
      <c r="J183" s="18">
        <v>1107.9750000000001</v>
      </c>
      <c r="K183" t="s">
        <v>97</v>
      </c>
      <c r="L183" t="s">
        <v>198</v>
      </c>
      <c r="M183" t="s">
        <v>199</v>
      </c>
      <c r="N183" t="s">
        <v>200</v>
      </c>
      <c r="O183" t="s">
        <v>201</v>
      </c>
    </row>
    <row r="184" spans="1:15" x14ac:dyDescent="0.45">
      <c r="A184">
        <f t="shared" si="2"/>
        <v>183</v>
      </c>
      <c r="B184" s="14">
        <v>43244</v>
      </c>
      <c r="C184" s="14">
        <f>EOMONTH(tbl_GLSalesDetail[[#This Row],[Date]],-1)+1</f>
        <v>43221</v>
      </c>
      <c r="D184" s="17">
        <v>1001</v>
      </c>
      <c r="E184" t="s">
        <v>125</v>
      </c>
      <c r="F184" t="s">
        <v>93</v>
      </c>
      <c r="G184" t="s">
        <v>126</v>
      </c>
      <c r="H184" t="s">
        <v>142</v>
      </c>
      <c r="I184" t="s">
        <v>157</v>
      </c>
      <c r="J184" s="18">
        <v>35137.300000000003</v>
      </c>
      <c r="K184" t="s">
        <v>97</v>
      </c>
      <c r="L184" t="s">
        <v>129</v>
      </c>
      <c r="M184" t="s">
        <v>130</v>
      </c>
      <c r="N184" t="s">
        <v>131</v>
      </c>
      <c r="O184" t="s">
        <v>132</v>
      </c>
    </row>
    <row r="185" spans="1:15" x14ac:dyDescent="0.45">
      <c r="A185">
        <f t="shared" si="2"/>
        <v>184</v>
      </c>
      <c r="B185" s="14">
        <v>43244</v>
      </c>
      <c r="C185" s="14">
        <f>EOMONTH(tbl_GLSalesDetail[[#This Row],[Date]],-1)+1</f>
        <v>43221</v>
      </c>
      <c r="D185" s="17">
        <v>1001</v>
      </c>
      <c r="E185" t="s">
        <v>125</v>
      </c>
      <c r="F185" t="s">
        <v>93</v>
      </c>
      <c r="G185" t="s">
        <v>126</v>
      </c>
      <c r="H185" t="s">
        <v>142</v>
      </c>
      <c r="I185" t="s">
        <v>143</v>
      </c>
      <c r="J185" s="18">
        <v>31621.7</v>
      </c>
      <c r="K185" t="s">
        <v>97</v>
      </c>
      <c r="L185" t="s">
        <v>129</v>
      </c>
      <c r="M185" t="s">
        <v>130</v>
      </c>
      <c r="N185" t="s">
        <v>131</v>
      </c>
      <c r="O185" t="s">
        <v>132</v>
      </c>
    </row>
    <row r="186" spans="1:15" x14ac:dyDescent="0.45">
      <c r="A186">
        <f t="shared" si="2"/>
        <v>185</v>
      </c>
      <c r="B186" s="14">
        <v>43244</v>
      </c>
      <c r="C186" s="14">
        <f>EOMONTH(tbl_GLSalesDetail[[#This Row],[Date]],-1)+1</f>
        <v>43221</v>
      </c>
      <c r="D186" s="17">
        <v>1001</v>
      </c>
      <c r="E186" t="s">
        <v>125</v>
      </c>
      <c r="F186" t="s">
        <v>93</v>
      </c>
      <c r="G186" t="s">
        <v>126</v>
      </c>
      <c r="H186" t="s">
        <v>142</v>
      </c>
      <c r="I186" t="s">
        <v>157</v>
      </c>
      <c r="J186" s="18">
        <v>11201.300000000001</v>
      </c>
      <c r="K186" t="s">
        <v>97</v>
      </c>
      <c r="L186" t="s">
        <v>129</v>
      </c>
      <c r="M186" t="s">
        <v>130</v>
      </c>
      <c r="N186" t="s">
        <v>131</v>
      </c>
      <c r="O186" t="s">
        <v>132</v>
      </c>
    </row>
    <row r="187" spans="1:15" x14ac:dyDescent="0.45">
      <c r="A187">
        <f t="shared" si="2"/>
        <v>186</v>
      </c>
      <c r="B187" s="14">
        <v>43244</v>
      </c>
      <c r="C187" s="14">
        <f>EOMONTH(tbl_GLSalesDetail[[#This Row],[Date]],-1)+1</f>
        <v>43221</v>
      </c>
      <c r="D187" s="17">
        <v>1002</v>
      </c>
      <c r="E187" t="s">
        <v>125</v>
      </c>
      <c r="F187" t="s">
        <v>93</v>
      </c>
      <c r="G187" t="s">
        <v>126</v>
      </c>
      <c r="H187" t="s">
        <v>142</v>
      </c>
      <c r="I187" t="s">
        <v>157</v>
      </c>
      <c r="J187" s="18">
        <v>26628.800000000003</v>
      </c>
      <c r="K187" t="s">
        <v>104</v>
      </c>
      <c r="L187" t="s">
        <v>129</v>
      </c>
      <c r="M187" t="s">
        <v>130</v>
      </c>
      <c r="N187" t="s">
        <v>131</v>
      </c>
      <c r="O187" t="s">
        <v>132</v>
      </c>
    </row>
    <row r="188" spans="1:15" x14ac:dyDescent="0.45">
      <c r="A188">
        <f t="shared" si="2"/>
        <v>187</v>
      </c>
      <c r="B188" s="14">
        <v>43244</v>
      </c>
      <c r="C188" s="14">
        <f>EOMONTH(tbl_GLSalesDetail[[#This Row],[Date]],-1)+1</f>
        <v>43221</v>
      </c>
      <c r="D188" s="17">
        <v>1002</v>
      </c>
      <c r="E188" t="s">
        <v>105</v>
      </c>
      <c r="F188" t="s">
        <v>106</v>
      </c>
      <c r="G188" t="s">
        <v>202</v>
      </c>
      <c r="H188" t="s">
        <v>178</v>
      </c>
      <c r="I188" t="s">
        <v>179</v>
      </c>
      <c r="J188" s="18">
        <v>32776.425000000003</v>
      </c>
      <c r="K188" t="s">
        <v>104</v>
      </c>
      <c r="L188" t="s">
        <v>203</v>
      </c>
      <c r="M188" t="s">
        <v>204</v>
      </c>
      <c r="N188" t="s">
        <v>112</v>
      </c>
      <c r="O188" t="s">
        <v>113</v>
      </c>
    </row>
    <row r="189" spans="1:15" x14ac:dyDescent="0.45">
      <c r="A189">
        <f t="shared" si="2"/>
        <v>188</v>
      </c>
      <c r="B189" s="14">
        <v>43250</v>
      </c>
      <c r="C189" s="14">
        <f>EOMONTH(tbl_GLSalesDetail[[#This Row],[Date]],-1)+1</f>
        <v>43221</v>
      </c>
      <c r="D189" s="17">
        <v>1001</v>
      </c>
      <c r="E189" t="s">
        <v>125</v>
      </c>
      <c r="F189" t="s">
        <v>93</v>
      </c>
      <c r="G189" t="s">
        <v>126</v>
      </c>
      <c r="H189" t="s">
        <v>134</v>
      </c>
      <c r="I189" t="s">
        <v>135</v>
      </c>
      <c r="J189" s="18">
        <v>3707.2750000000001</v>
      </c>
      <c r="K189" t="s">
        <v>97</v>
      </c>
      <c r="L189" t="s">
        <v>129</v>
      </c>
      <c r="M189" t="s">
        <v>130</v>
      </c>
      <c r="N189" t="s">
        <v>131</v>
      </c>
      <c r="O189" t="s">
        <v>132</v>
      </c>
    </row>
    <row r="190" spans="1:15" x14ac:dyDescent="0.45">
      <c r="A190">
        <f t="shared" si="2"/>
        <v>189</v>
      </c>
      <c r="B190" s="14">
        <v>43250</v>
      </c>
      <c r="C190" s="14">
        <f>EOMONTH(tbl_GLSalesDetail[[#This Row],[Date]],-1)+1</f>
        <v>43221</v>
      </c>
      <c r="D190" s="17">
        <v>1001</v>
      </c>
      <c r="E190" t="s">
        <v>125</v>
      </c>
      <c r="F190" t="s">
        <v>93</v>
      </c>
      <c r="G190" t="s">
        <v>126</v>
      </c>
      <c r="H190" t="s">
        <v>134</v>
      </c>
      <c r="I190" t="s">
        <v>135</v>
      </c>
      <c r="J190" s="18">
        <v>36394.875</v>
      </c>
      <c r="K190" t="s">
        <v>97</v>
      </c>
      <c r="L190" t="s">
        <v>129</v>
      </c>
      <c r="M190" t="s">
        <v>130</v>
      </c>
      <c r="N190" t="s">
        <v>131</v>
      </c>
      <c r="O190" t="s">
        <v>132</v>
      </c>
    </row>
    <row r="191" spans="1:15" x14ac:dyDescent="0.45">
      <c r="A191">
        <f t="shared" si="2"/>
        <v>190</v>
      </c>
      <c r="B191" s="14">
        <v>43250</v>
      </c>
      <c r="C191" s="14">
        <f>EOMONTH(tbl_GLSalesDetail[[#This Row],[Date]],-1)+1</f>
        <v>43221</v>
      </c>
      <c r="D191" s="17">
        <v>1001</v>
      </c>
      <c r="E191" t="s">
        <v>125</v>
      </c>
      <c r="F191" t="s">
        <v>93</v>
      </c>
      <c r="G191" t="s">
        <v>126</v>
      </c>
      <c r="H191" t="s">
        <v>108</v>
      </c>
      <c r="I191" t="s">
        <v>109</v>
      </c>
      <c r="J191" s="18">
        <v>11477.125</v>
      </c>
      <c r="K191" t="s">
        <v>97</v>
      </c>
      <c r="L191" t="s">
        <v>129</v>
      </c>
      <c r="M191" t="s">
        <v>130</v>
      </c>
      <c r="N191" t="s">
        <v>131</v>
      </c>
      <c r="O191" t="s">
        <v>132</v>
      </c>
    </row>
    <row r="192" spans="1:15" x14ac:dyDescent="0.45">
      <c r="A192">
        <f t="shared" si="2"/>
        <v>191</v>
      </c>
      <c r="B192" s="14">
        <v>43250</v>
      </c>
      <c r="C192" s="14">
        <f>EOMONTH(tbl_GLSalesDetail[[#This Row],[Date]],-1)+1</f>
        <v>43221</v>
      </c>
      <c r="D192" s="17">
        <v>1001</v>
      </c>
      <c r="E192" t="s">
        <v>125</v>
      </c>
      <c r="F192" t="s">
        <v>93</v>
      </c>
      <c r="G192" t="s">
        <v>126</v>
      </c>
      <c r="H192" t="s">
        <v>134</v>
      </c>
      <c r="I192" t="s">
        <v>135</v>
      </c>
      <c r="J192" s="18">
        <v>24197.800000000003</v>
      </c>
      <c r="K192" t="s">
        <v>97</v>
      </c>
      <c r="L192" t="s">
        <v>129</v>
      </c>
      <c r="M192" t="s">
        <v>130</v>
      </c>
      <c r="N192" t="s">
        <v>131</v>
      </c>
      <c r="O192" t="s">
        <v>132</v>
      </c>
    </row>
    <row r="193" spans="1:15" x14ac:dyDescent="0.45">
      <c r="A193">
        <f t="shared" si="2"/>
        <v>192</v>
      </c>
      <c r="B193" s="14">
        <v>43250</v>
      </c>
      <c r="C193" s="14">
        <f>EOMONTH(tbl_GLSalesDetail[[#This Row],[Date]],-1)+1</f>
        <v>43221</v>
      </c>
      <c r="D193" s="17">
        <v>1001</v>
      </c>
      <c r="E193" t="s">
        <v>125</v>
      </c>
      <c r="F193" t="s">
        <v>93</v>
      </c>
      <c r="G193" t="s">
        <v>126</v>
      </c>
      <c r="H193" t="s">
        <v>108</v>
      </c>
      <c r="I193" t="s">
        <v>109</v>
      </c>
      <c r="J193" s="18">
        <v>13608.925000000001</v>
      </c>
      <c r="K193" t="s">
        <v>97</v>
      </c>
      <c r="L193" t="s">
        <v>129</v>
      </c>
      <c r="M193" t="s">
        <v>130</v>
      </c>
      <c r="N193" t="s">
        <v>131</v>
      </c>
      <c r="O193" t="s">
        <v>132</v>
      </c>
    </row>
    <row r="194" spans="1:15" x14ac:dyDescent="0.45">
      <c r="A194">
        <f t="shared" ref="A194:A257" si="3">ROW()-1</f>
        <v>193</v>
      </c>
      <c r="B194" s="14">
        <v>43250</v>
      </c>
      <c r="C194" s="14">
        <f>EOMONTH(tbl_GLSalesDetail[[#This Row],[Date]],-1)+1</f>
        <v>43221</v>
      </c>
      <c r="D194" s="17">
        <v>1002</v>
      </c>
      <c r="E194" t="s">
        <v>125</v>
      </c>
      <c r="F194" t="s">
        <v>93</v>
      </c>
      <c r="G194" t="s">
        <v>126</v>
      </c>
      <c r="H194" t="s">
        <v>119</v>
      </c>
      <c r="I194" t="s">
        <v>120</v>
      </c>
      <c r="J194" s="18">
        <v>3623.125</v>
      </c>
      <c r="K194" t="s">
        <v>104</v>
      </c>
      <c r="L194" t="s">
        <v>129</v>
      </c>
      <c r="M194" t="s">
        <v>130</v>
      </c>
      <c r="N194" t="s">
        <v>131</v>
      </c>
      <c r="O194" t="s">
        <v>132</v>
      </c>
    </row>
    <row r="195" spans="1:15" x14ac:dyDescent="0.45">
      <c r="A195">
        <f t="shared" si="3"/>
        <v>194</v>
      </c>
      <c r="B195" s="14">
        <v>43255</v>
      </c>
      <c r="C195" s="14">
        <f>EOMONTH(tbl_GLSalesDetail[[#This Row],[Date]],-1)+1</f>
        <v>43252</v>
      </c>
      <c r="D195" s="17">
        <v>1002</v>
      </c>
      <c r="E195" t="s">
        <v>92</v>
      </c>
      <c r="F195" t="s">
        <v>93</v>
      </c>
      <c r="G195" t="s">
        <v>94</v>
      </c>
      <c r="H195" t="s">
        <v>102</v>
      </c>
      <c r="I195" t="s">
        <v>144</v>
      </c>
      <c r="J195" s="18">
        <v>45749.55</v>
      </c>
      <c r="K195" t="s">
        <v>104</v>
      </c>
      <c r="L195" t="s">
        <v>98</v>
      </c>
      <c r="M195" t="s">
        <v>99</v>
      </c>
      <c r="N195" t="s">
        <v>100</v>
      </c>
      <c r="O195" t="s">
        <v>101</v>
      </c>
    </row>
    <row r="196" spans="1:15" x14ac:dyDescent="0.45">
      <c r="A196">
        <f t="shared" si="3"/>
        <v>195</v>
      </c>
      <c r="B196" s="14">
        <v>43256</v>
      </c>
      <c r="C196" s="14">
        <f>EOMONTH(tbl_GLSalesDetail[[#This Row],[Date]],-1)+1</f>
        <v>43252</v>
      </c>
      <c r="D196" s="17">
        <v>1001</v>
      </c>
      <c r="E196" t="s">
        <v>116</v>
      </c>
      <c r="F196" t="s">
        <v>117</v>
      </c>
      <c r="G196" t="s">
        <v>187</v>
      </c>
      <c r="H196" t="s">
        <v>176</v>
      </c>
      <c r="I196" t="s">
        <v>177</v>
      </c>
      <c r="J196" s="18">
        <v>28138.825000000001</v>
      </c>
      <c r="K196" t="s">
        <v>145</v>
      </c>
      <c r="L196" t="s">
        <v>188</v>
      </c>
      <c r="M196" t="s">
        <v>189</v>
      </c>
      <c r="N196" t="s">
        <v>190</v>
      </c>
      <c r="O196" t="s">
        <v>191</v>
      </c>
    </row>
    <row r="197" spans="1:15" x14ac:dyDescent="0.45">
      <c r="A197">
        <f t="shared" si="3"/>
        <v>196</v>
      </c>
      <c r="B197" s="14">
        <v>43256</v>
      </c>
      <c r="C197" s="14">
        <f>EOMONTH(tbl_GLSalesDetail[[#This Row],[Date]],-1)+1</f>
        <v>43252</v>
      </c>
      <c r="D197" s="17">
        <v>1001</v>
      </c>
      <c r="E197" t="s">
        <v>136</v>
      </c>
      <c r="F197" t="s">
        <v>106</v>
      </c>
      <c r="G197" t="s">
        <v>162</v>
      </c>
      <c r="H197" t="s">
        <v>95</v>
      </c>
      <c r="I197" t="s">
        <v>96</v>
      </c>
      <c r="J197" s="18">
        <v>2360.875</v>
      </c>
      <c r="K197" t="s">
        <v>145</v>
      </c>
      <c r="L197" t="s">
        <v>165</v>
      </c>
      <c r="M197" t="s">
        <v>166</v>
      </c>
      <c r="N197" t="s">
        <v>167</v>
      </c>
      <c r="O197" t="s">
        <v>168</v>
      </c>
    </row>
    <row r="198" spans="1:15" x14ac:dyDescent="0.45">
      <c r="A198">
        <f t="shared" si="3"/>
        <v>197</v>
      </c>
      <c r="B198" s="14">
        <v>43256</v>
      </c>
      <c r="C198" s="14">
        <f>EOMONTH(tbl_GLSalesDetail[[#This Row],[Date]],-1)+1</f>
        <v>43252</v>
      </c>
      <c r="D198" s="17">
        <v>1001</v>
      </c>
      <c r="E198" t="s">
        <v>146</v>
      </c>
      <c r="F198" t="s">
        <v>147</v>
      </c>
      <c r="G198" t="s">
        <v>171</v>
      </c>
      <c r="H198" t="s">
        <v>205</v>
      </c>
      <c r="I198" t="s">
        <v>206</v>
      </c>
      <c r="J198" s="18">
        <v>34403.325000000004</v>
      </c>
      <c r="K198" t="s">
        <v>145</v>
      </c>
      <c r="L198" t="s">
        <v>172</v>
      </c>
      <c r="M198" t="s">
        <v>173</v>
      </c>
      <c r="N198" t="s">
        <v>174</v>
      </c>
      <c r="O198" t="s">
        <v>175</v>
      </c>
    </row>
    <row r="199" spans="1:15" x14ac:dyDescent="0.45">
      <c r="A199">
        <f t="shared" si="3"/>
        <v>198</v>
      </c>
      <c r="B199" s="14">
        <v>43256</v>
      </c>
      <c r="C199" s="14">
        <f>EOMONTH(tbl_GLSalesDetail[[#This Row],[Date]],-1)+1</f>
        <v>43252</v>
      </c>
      <c r="D199" s="17">
        <v>1001</v>
      </c>
      <c r="E199" t="s">
        <v>105</v>
      </c>
      <c r="F199" t="s">
        <v>106</v>
      </c>
      <c r="G199" t="s">
        <v>107</v>
      </c>
      <c r="H199" t="s">
        <v>119</v>
      </c>
      <c r="I199" t="s">
        <v>133</v>
      </c>
      <c r="J199" s="18">
        <v>27811.575000000001</v>
      </c>
      <c r="K199" t="s">
        <v>145</v>
      </c>
      <c r="L199" t="s">
        <v>110</v>
      </c>
      <c r="M199" t="s">
        <v>111</v>
      </c>
      <c r="N199" t="s">
        <v>112</v>
      </c>
      <c r="O199" t="s">
        <v>113</v>
      </c>
    </row>
    <row r="200" spans="1:15" x14ac:dyDescent="0.45">
      <c r="A200">
        <f t="shared" si="3"/>
        <v>199</v>
      </c>
      <c r="B200" s="14">
        <v>43256</v>
      </c>
      <c r="C200" s="14">
        <f>EOMONTH(tbl_GLSalesDetail[[#This Row],[Date]],-1)+1</f>
        <v>43252</v>
      </c>
      <c r="D200" s="17">
        <v>1001</v>
      </c>
      <c r="E200" t="s">
        <v>116</v>
      </c>
      <c r="F200" t="s">
        <v>117</v>
      </c>
      <c r="G200" t="s">
        <v>187</v>
      </c>
      <c r="H200" t="s">
        <v>176</v>
      </c>
      <c r="I200" t="s">
        <v>177</v>
      </c>
      <c r="J200" s="18">
        <v>44015.125</v>
      </c>
      <c r="K200" t="s">
        <v>145</v>
      </c>
      <c r="L200" t="s">
        <v>188</v>
      </c>
      <c r="M200" t="s">
        <v>189</v>
      </c>
      <c r="N200" t="s">
        <v>190</v>
      </c>
      <c r="O200" t="s">
        <v>191</v>
      </c>
    </row>
    <row r="201" spans="1:15" x14ac:dyDescent="0.45">
      <c r="A201">
        <f t="shared" si="3"/>
        <v>200</v>
      </c>
      <c r="B201" s="14">
        <v>43256</v>
      </c>
      <c r="C201" s="14">
        <f>EOMONTH(tbl_GLSalesDetail[[#This Row],[Date]],-1)+1</f>
        <v>43252</v>
      </c>
      <c r="D201" s="17">
        <v>1001</v>
      </c>
      <c r="E201" t="s">
        <v>105</v>
      </c>
      <c r="F201" t="s">
        <v>106</v>
      </c>
      <c r="G201" t="s">
        <v>107</v>
      </c>
      <c r="H201" t="s">
        <v>119</v>
      </c>
      <c r="I201" t="s">
        <v>133</v>
      </c>
      <c r="J201" s="18">
        <v>8386.9500000000007</v>
      </c>
      <c r="K201" t="s">
        <v>145</v>
      </c>
      <c r="L201" t="s">
        <v>110</v>
      </c>
      <c r="M201" t="s">
        <v>111</v>
      </c>
      <c r="N201" t="s">
        <v>112</v>
      </c>
      <c r="O201" t="s">
        <v>113</v>
      </c>
    </row>
    <row r="202" spans="1:15" x14ac:dyDescent="0.45">
      <c r="A202">
        <f t="shared" si="3"/>
        <v>201</v>
      </c>
      <c r="B202" s="14">
        <v>43256</v>
      </c>
      <c r="C202" s="14">
        <f>EOMONTH(tbl_GLSalesDetail[[#This Row],[Date]],-1)+1</f>
        <v>43252</v>
      </c>
      <c r="D202" s="17">
        <v>1001</v>
      </c>
      <c r="E202" t="s">
        <v>136</v>
      </c>
      <c r="F202" t="s">
        <v>106</v>
      </c>
      <c r="G202" t="s">
        <v>162</v>
      </c>
      <c r="H202" t="s">
        <v>95</v>
      </c>
      <c r="I202" t="s">
        <v>96</v>
      </c>
      <c r="J202" s="18">
        <v>33898.425000000003</v>
      </c>
      <c r="K202" t="s">
        <v>97</v>
      </c>
      <c r="L202" t="s">
        <v>165</v>
      </c>
      <c r="M202" t="s">
        <v>166</v>
      </c>
      <c r="N202" t="s">
        <v>167</v>
      </c>
      <c r="O202" t="s">
        <v>168</v>
      </c>
    </row>
    <row r="203" spans="1:15" x14ac:dyDescent="0.45">
      <c r="A203">
        <f t="shared" si="3"/>
        <v>202</v>
      </c>
      <c r="B203" s="14">
        <v>43256</v>
      </c>
      <c r="C203" s="14">
        <f>EOMONTH(tbl_GLSalesDetail[[#This Row],[Date]],-1)+1</f>
        <v>43252</v>
      </c>
      <c r="D203" s="17">
        <v>1001</v>
      </c>
      <c r="E203" t="s">
        <v>146</v>
      </c>
      <c r="F203" t="s">
        <v>147</v>
      </c>
      <c r="G203" t="s">
        <v>171</v>
      </c>
      <c r="H203" t="s">
        <v>205</v>
      </c>
      <c r="I203" t="s">
        <v>206</v>
      </c>
      <c r="J203" s="18">
        <v>32168.675000000003</v>
      </c>
      <c r="K203" t="s">
        <v>97</v>
      </c>
      <c r="L203" t="s">
        <v>172</v>
      </c>
      <c r="M203" t="s">
        <v>173</v>
      </c>
      <c r="N203" t="s">
        <v>174</v>
      </c>
      <c r="O203" t="s">
        <v>175</v>
      </c>
    </row>
    <row r="204" spans="1:15" x14ac:dyDescent="0.45">
      <c r="A204">
        <f t="shared" si="3"/>
        <v>203</v>
      </c>
      <c r="B204" s="14">
        <v>43256</v>
      </c>
      <c r="C204" s="14">
        <f>EOMONTH(tbl_GLSalesDetail[[#This Row],[Date]],-1)+1</f>
        <v>43252</v>
      </c>
      <c r="D204" s="17">
        <v>1001</v>
      </c>
      <c r="E204" t="s">
        <v>116</v>
      </c>
      <c r="F204" t="s">
        <v>117</v>
      </c>
      <c r="G204" t="s">
        <v>194</v>
      </c>
      <c r="H204" t="s">
        <v>169</v>
      </c>
      <c r="I204" t="s">
        <v>186</v>
      </c>
      <c r="J204" s="18">
        <v>7428.5750000000007</v>
      </c>
      <c r="K204" t="s">
        <v>97</v>
      </c>
      <c r="L204" t="s">
        <v>195</v>
      </c>
      <c r="M204" t="s">
        <v>196</v>
      </c>
      <c r="N204" t="s">
        <v>131</v>
      </c>
      <c r="O204" t="s">
        <v>132</v>
      </c>
    </row>
    <row r="205" spans="1:15" x14ac:dyDescent="0.45">
      <c r="A205">
        <f t="shared" si="3"/>
        <v>204</v>
      </c>
      <c r="B205" s="14">
        <v>43256</v>
      </c>
      <c r="C205" s="14">
        <f>EOMONTH(tbl_GLSalesDetail[[#This Row],[Date]],-1)+1</f>
        <v>43252</v>
      </c>
      <c r="D205" s="17">
        <v>1001</v>
      </c>
      <c r="E205" t="s">
        <v>136</v>
      </c>
      <c r="F205" t="s">
        <v>106</v>
      </c>
      <c r="G205" t="s">
        <v>162</v>
      </c>
      <c r="H205" t="s">
        <v>95</v>
      </c>
      <c r="I205" t="s">
        <v>96</v>
      </c>
      <c r="J205" s="18">
        <v>24581.15</v>
      </c>
      <c r="K205" t="s">
        <v>97</v>
      </c>
      <c r="L205" t="s">
        <v>165</v>
      </c>
      <c r="M205" t="s">
        <v>166</v>
      </c>
      <c r="N205" t="s">
        <v>167</v>
      </c>
      <c r="O205" t="s">
        <v>168</v>
      </c>
    </row>
    <row r="206" spans="1:15" x14ac:dyDescent="0.45">
      <c r="A206">
        <f t="shared" si="3"/>
        <v>205</v>
      </c>
      <c r="B206" s="14">
        <v>43256</v>
      </c>
      <c r="C206" s="14">
        <f>EOMONTH(tbl_GLSalesDetail[[#This Row],[Date]],-1)+1</f>
        <v>43252</v>
      </c>
      <c r="D206" s="17">
        <v>1001</v>
      </c>
      <c r="E206" t="s">
        <v>146</v>
      </c>
      <c r="F206" t="s">
        <v>147</v>
      </c>
      <c r="G206" t="s">
        <v>171</v>
      </c>
      <c r="H206" t="s">
        <v>205</v>
      </c>
      <c r="I206" t="s">
        <v>206</v>
      </c>
      <c r="J206" s="18">
        <v>28106.100000000002</v>
      </c>
      <c r="K206" t="s">
        <v>97</v>
      </c>
      <c r="L206" t="s">
        <v>172</v>
      </c>
      <c r="M206" t="s">
        <v>173</v>
      </c>
      <c r="N206" t="s">
        <v>174</v>
      </c>
      <c r="O206" t="s">
        <v>175</v>
      </c>
    </row>
    <row r="207" spans="1:15" x14ac:dyDescent="0.45">
      <c r="A207">
        <f t="shared" si="3"/>
        <v>206</v>
      </c>
      <c r="B207" s="14">
        <v>43256</v>
      </c>
      <c r="C207" s="14">
        <f>EOMONTH(tbl_GLSalesDetail[[#This Row],[Date]],-1)+1</f>
        <v>43252</v>
      </c>
      <c r="D207" s="17">
        <v>1002</v>
      </c>
      <c r="E207" t="s">
        <v>116</v>
      </c>
      <c r="F207" t="s">
        <v>117</v>
      </c>
      <c r="G207" t="s">
        <v>187</v>
      </c>
      <c r="H207" t="s">
        <v>176</v>
      </c>
      <c r="I207" t="s">
        <v>177</v>
      </c>
      <c r="J207" s="18">
        <v>37942.300000000003</v>
      </c>
      <c r="K207" t="s">
        <v>104</v>
      </c>
      <c r="L207" t="s">
        <v>188</v>
      </c>
      <c r="M207" t="s">
        <v>189</v>
      </c>
      <c r="N207" t="s">
        <v>190</v>
      </c>
      <c r="O207" t="s">
        <v>191</v>
      </c>
    </row>
    <row r="208" spans="1:15" x14ac:dyDescent="0.45">
      <c r="A208">
        <f t="shared" si="3"/>
        <v>207</v>
      </c>
      <c r="B208" s="14">
        <v>43256</v>
      </c>
      <c r="C208" s="14">
        <f>EOMONTH(tbl_GLSalesDetail[[#This Row],[Date]],-1)+1</f>
        <v>43252</v>
      </c>
      <c r="D208" s="17">
        <v>1002</v>
      </c>
      <c r="E208" t="s">
        <v>116</v>
      </c>
      <c r="F208" t="s">
        <v>117</v>
      </c>
      <c r="G208" t="s">
        <v>194</v>
      </c>
      <c r="H208" t="s">
        <v>169</v>
      </c>
      <c r="I208" t="s">
        <v>186</v>
      </c>
      <c r="J208" s="18">
        <v>682.55000000000007</v>
      </c>
      <c r="K208" t="s">
        <v>104</v>
      </c>
      <c r="L208" t="s">
        <v>195</v>
      </c>
      <c r="M208" t="s">
        <v>196</v>
      </c>
      <c r="N208" t="s">
        <v>131</v>
      </c>
      <c r="O208" t="s">
        <v>132</v>
      </c>
    </row>
    <row r="209" spans="1:15" x14ac:dyDescent="0.45">
      <c r="A209">
        <f t="shared" si="3"/>
        <v>208</v>
      </c>
      <c r="B209" s="14">
        <v>43256</v>
      </c>
      <c r="C209" s="14">
        <f>EOMONTH(tbl_GLSalesDetail[[#This Row],[Date]],-1)+1</f>
        <v>43252</v>
      </c>
      <c r="D209" s="17">
        <v>1002</v>
      </c>
      <c r="E209" t="s">
        <v>105</v>
      </c>
      <c r="F209" t="s">
        <v>106</v>
      </c>
      <c r="G209" t="s">
        <v>107</v>
      </c>
      <c r="H209" t="s">
        <v>119</v>
      </c>
      <c r="I209" t="s">
        <v>133</v>
      </c>
      <c r="J209" s="18">
        <v>17222.7</v>
      </c>
      <c r="K209" t="s">
        <v>104</v>
      </c>
      <c r="L209" t="s">
        <v>110</v>
      </c>
      <c r="M209" t="s">
        <v>111</v>
      </c>
      <c r="N209" t="s">
        <v>112</v>
      </c>
      <c r="O209" t="s">
        <v>113</v>
      </c>
    </row>
    <row r="210" spans="1:15" x14ac:dyDescent="0.45">
      <c r="A210">
        <f t="shared" si="3"/>
        <v>209</v>
      </c>
      <c r="B210" s="14">
        <v>43256</v>
      </c>
      <c r="C210" s="14">
        <f>EOMONTH(tbl_GLSalesDetail[[#This Row],[Date]],-1)+1</f>
        <v>43252</v>
      </c>
      <c r="D210" s="17">
        <v>1002</v>
      </c>
      <c r="E210" t="s">
        <v>92</v>
      </c>
      <c r="F210" t="s">
        <v>93</v>
      </c>
      <c r="G210" t="s">
        <v>94</v>
      </c>
      <c r="H210" t="s">
        <v>142</v>
      </c>
      <c r="I210" t="s">
        <v>149</v>
      </c>
      <c r="J210" s="18">
        <v>24978.525000000001</v>
      </c>
      <c r="K210" t="s">
        <v>104</v>
      </c>
      <c r="L210" t="s">
        <v>98</v>
      </c>
      <c r="M210" t="s">
        <v>99</v>
      </c>
      <c r="N210" t="s">
        <v>100</v>
      </c>
      <c r="O210" t="s">
        <v>101</v>
      </c>
    </row>
    <row r="211" spans="1:15" x14ac:dyDescent="0.45">
      <c r="A211">
        <f t="shared" si="3"/>
        <v>210</v>
      </c>
      <c r="B211" s="14">
        <v>43256</v>
      </c>
      <c r="C211" s="14">
        <f>EOMONTH(tbl_GLSalesDetail[[#This Row],[Date]],-1)+1</f>
        <v>43252</v>
      </c>
      <c r="D211" s="17">
        <v>1002</v>
      </c>
      <c r="E211" t="s">
        <v>116</v>
      </c>
      <c r="F211" t="s">
        <v>117</v>
      </c>
      <c r="G211" t="s">
        <v>194</v>
      </c>
      <c r="H211" t="s">
        <v>169</v>
      </c>
      <c r="I211" t="s">
        <v>186</v>
      </c>
      <c r="J211" s="18">
        <v>19541.5</v>
      </c>
      <c r="K211" t="s">
        <v>104</v>
      </c>
      <c r="L211" t="s">
        <v>195</v>
      </c>
      <c r="M211" t="s">
        <v>196</v>
      </c>
      <c r="N211" t="s">
        <v>131</v>
      </c>
      <c r="O211" t="s">
        <v>132</v>
      </c>
    </row>
    <row r="212" spans="1:15" x14ac:dyDescent="0.45">
      <c r="A212">
        <f t="shared" si="3"/>
        <v>211</v>
      </c>
      <c r="B212" s="14">
        <v>43256</v>
      </c>
      <c r="C212" s="14">
        <f>EOMONTH(tbl_GLSalesDetail[[#This Row],[Date]],-1)+1</f>
        <v>43252</v>
      </c>
      <c r="D212" s="17">
        <v>1002</v>
      </c>
      <c r="E212" t="s">
        <v>92</v>
      </c>
      <c r="F212" t="s">
        <v>93</v>
      </c>
      <c r="G212" t="s">
        <v>94</v>
      </c>
      <c r="H212" t="s">
        <v>178</v>
      </c>
      <c r="I212" t="s">
        <v>179</v>
      </c>
      <c r="J212" s="18">
        <v>44604.175000000003</v>
      </c>
      <c r="K212" t="s">
        <v>104</v>
      </c>
      <c r="L212" t="s">
        <v>98</v>
      </c>
      <c r="M212" t="s">
        <v>99</v>
      </c>
      <c r="N212" t="s">
        <v>100</v>
      </c>
      <c r="O212" t="s">
        <v>101</v>
      </c>
    </row>
    <row r="213" spans="1:15" x14ac:dyDescent="0.45">
      <c r="A213">
        <f t="shared" si="3"/>
        <v>212</v>
      </c>
      <c r="B213" s="14">
        <v>43258</v>
      </c>
      <c r="C213" s="14">
        <f>EOMONTH(tbl_GLSalesDetail[[#This Row],[Date]],-1)+1</f>
        <v>43252</v>
      </c>
      <c r="D213" s="17">
        <v>1001</v>
      </c>
      <c r="E213" t="s">
        <v>146</v>
      </c>
      <c r="F213" t="s">
        <v>147</v>
      </c>
      <c r="G213" t="s">
        <v>180</v>
      </c>
      <c r="H213" t="s">
        <v>102</v>
      </c>
      <c r="I213" t="s">
        <v>161</v>
      </c>
      <c r="J213" s="18">
        <v>3174.3250000000003</v>
      </c>
      <c r="K213" t="s">
        <v>145</v>
      </c>
      <c r="L213" t="s">
        <v>181</v>
      </c>
      <c r="M213" t="s">
        <v>182</v>
      </c>
      <c r="N213" t="s">
        <v>183</v>
      </c>
      <c r="O213" t="s">
        <v>184</v>
      </c>
    </row>
    <row r="214" spans="1:15" x14ac:dyDescent="0.45">
      <c r="A214">
        <f t="shared" si="3"/>
        <v>213</v>
      </c>
      <c r="B214" s="14">
        <v>43258</v>
      </c>
      <c r="C214" s="14">
        <f>EOMONTH(tbl_GLSalesDetail[[#This Row],[Date]],-1)+1</f>
        <v>43252</v>
      </c>
      <c r="D214" s="17">
        <v>1001</v>
      </c>
      <c r="E214" t="s">
        <v>146</v>
      </c>
      <c r="F214" t="s">
        <v>147</v>
      </c>
      <c r="G214" t="s">
        <v>180</v>
      </c>
      <c r="H214" t="s">
        <v>102</v>
      </c>
      <c r="I214" t="s">
        <v>161</v>
      </c>
      <c r="J214" s="18">
        <v>45347.5</v>
      </c>
      <c r="K214" t="s">
        <v>97</v>
      </c>
      <c r="L214" t="s">
        <v>181</v>
      </c>
      <c r="M214" t="s">
        <v>182</v>
      </c>
      <c r="N214" t="s">
        <v>183</v>
      </c>
      <c r="O214" t="s">
        <v>184</v>
      </c>
    </row>
    <row r="215" spans="1:15" x14ac:dyDescent="0.45">
      <c r="A215">
        <f t="shared" si="3"/>
        <v>214</v>
      </c>
      <c r="B215" s="14">
        <v>43258</v>
      </c>
      <c r="C215" s="14">
        <f>EOMONTH(tbl_GLSalesDetail[[#This Row],[Date]],-1)+1</f>
        <v>43252</v>
      </c>
      <c r="D215" s="17">
        <v>1001</v>
      </c>
      <c r="E215" t="s">
        <v>146</v>
      </c>
      <c r="F215" t="s">
        <v>147</v>
      </c>
      <c r="G215" t="s">
        <v>180</v>
      </c>
      <c r="H215" t="s">
        <v>102</v>
      </c>
      <c r="I215" t="s">
        <v>161</v>
      </c>
      <c r="J215" s="18">
        <v>3894.2750000000001</v>
      </c>
      <c r="K215" t="s">
        <v>97</v>
      </c>
      <c r="L215" t="s">
        <v>181</v>
      </c>
      <c r="M215" t="s">
        <v>182</v>
      </c>
      <c r="N215" t="s">
        <v>183</v>
      </c>
      <c r="O215" t="s">
        <v>184</v>
      </c>
    </row>
    <row r="216" spans="1:15" x14ac:dyDescent="0.45">
      <c r="A216">
        <f t="shared" si="3"/>
        <v>215</v>
      </c>
      <c r="B216" s="14">
        <v>43258</v>
      </c>
      <c r="C216" s="14">
        <f>EOMONTH(tbl_GLSalesDetail[[#This Row],[Date]],-1)+1</f>
        <v>43252</v>
      </c>
      <c r="D216" s="17">
        <v>1002</v>
      </c>
      <c r="E216" t="s">
        <v>155</v>
      </c>
      <c r="F216" t="s">
        <v>117</v>
      </c>
      <c r="G216" t="s">
        <v>156</v>
      </c>
      <c r="H216" t="s">
        <v>102</v>
      </c>
      <c r="I216" t="s">
        <v>160</v>
      </c>
      <c r="J216" s="18">
        <v>12173.7</v>
      </c>
      <c r="K216" t="s">
        <v>104</v>
      </c>
      <c r="L216" t="s">
        <v>158</v>
      </c>
      <c r="M216" t="s">
        <v>159</v>
      </c>
      <c r="N216" t="s">
        <v>140</v>
      </c>
      <c r="O216" t="s">
        <v>141</v>
      </c>
    </row>
    <row r="217" spans="1:15" x14ac:dyDescent="0.45">
      <c r="A217">
        <f t="shared" si="3"/>
        <v>216</v>
      </c>
      <c r="B217" s="14">
        <v>43259</v>
      </c>
      <c r="C217" s="14">
        <f>EOMONTH(tbl_GLSalesDetail[[#This Row],[Date]],-1)+1</f>
        <v>43252</v>
      </c>
      <c r="D217" s="17">
        <v>1001</v>
      </c>
      <c r="E217" t="s">
        <v>116</v>
      </c>
      <c r="F217" t="s">
        <v>117</v>
      </c>
      <c r="G217" t="s">
        <v>118</v>
      </c>
      <c r="H217" t="s">
        <v>95</v>
      </c>
      <c r="I217" t="s">
        <v>96</v>
      </c>
      <c r="J217" s="18">
        <v>19784.600000000002</v>
      </c>
      <c r="K217" t="s">
        <v>145</v>
      </c>
      <c r="L217" t="s">
        <v>121</v>
      </c>
      <c r="M217" t="s">
        <v>122</v>
      </c>
      <c r="N217" t="s">
        <v>123</v>
      </c>
      <c r="O217" t="s">
        <v>124</v>
      </c>
    </row>
    <row r="218" spans="1:15" x14ac:dyDescent="0.45">
      <c r="A218">
        <f t="shared" si="3"/>
        <v>217</v>
      </c>
      <c r="B218" s="14">
        <v>43259</v>
      </c>
      <c r="C218" s="14">
        <f>EOMONTH(tbl_GLSalesDetail[[#This Row],[Date]],-1)+1</f>
        <v>43252</v>
      </c>
      <c r="D218" s="17">
        <v>1002</v>
      </c>
      <c r="E218" t="s">
        <v>116</v>
      </c>
      <c r="F218" t="s">
        <v>117</v>
      </c>
      <c r="G218" t="s">
        <v>118</v>
      </c>
      <c r="H218" t="s">
        <v>95</v>
      </c>
      <c r="I218" t="s">
        <v>96</v>
      </c>
      <c r="J218" s="18">
        <v>11140.525000000001</v>
      </c>
      <c r="K218" t="s">
        <v>104</v>
      </c>
      <c r="L218" t="s">
        <v>121</v>
      </c>
      <c r="M218" t="s">
        <v>122</v>
      </c>
      <c r="N218" t="s">
        <v>123</v>
      </c>
      <c r="O218" t="s">
        <v>124</v>
      </c>
    </row>
    <row r="219" spans="1:15" x14ac:dyDescent="0.45">
      <c r="A219">
        <f t="shared" si="3"/>
        <v>218</v>
      </c>
      <c r="B219" s="14">
        <v>43259</v>
      </c>
      <c r="C219" s="14">
        <f>EOMONTH(tbl_GLSalesDetail[[#This Row],[Date]],-1)+1</f>
        <v>43252</v>
      </c>
      <c r="D219" s="17">
        <v>1002</v>
      </c>
      <c r="E219" t="s">
        <v>155</v>
      </c>
      <c r="F219" t="s">
        <v>117</v>
      </c>
      <c r="G219" t="s">
        <v>156</v>
      </c>
      <c r="H219" t="s">
        <v>169</v>
      </c>
      <c r="I219" t="s">
        <v>186</v>
      </c>
      <c r="J219" s="18">
        <v>31869.475000000002</v>
      </c>
      <c r="K219" t="s">
        <v>104</v>
      </c>
      <c r="L219" t="s">
        <v>158</v>
      </c>
      <c r="M219" t="s">
        <v>159</v>
      </c>
      <c r="N219" t="s">
        <v>140</v>
      </c>
      <c r="O219" t="s">
        <v>141</v>
      </c>
    </row>
    <row r="220" spans="1:15" x14ac:dyDescent="0.45">
      <c r="A220">
        <f t="shared" si="3"/>
        <v>219</v>
      </c>
      <c r="B220" s="14">
        <v>43259</v>
      </c>
      <c r="C220" s="14">
        <f>EOMONTH(tbl_GLSalesDetail[[#This Row],[Date]],-1)+1</f>
        <v>43252</v>
      </c>
      <c r="D220" s="17">
        <v>1002</v>
      </c>
      <c r="E220" t="s">
        <v>116</v>
      </c>
      <c r="F220" t="s">
        <v>117</v>
      </c>
      <c r="G220" t="s">
        <v>118</v>
      </c>
      <c r="H220" t="s">
        <v>95</v>
      </c>
      <c r="I220" t="s">
        <v>96</v>
      </c>
      <c r="J220" s="18">
        <v>34192.950000000004</v>
      </c>
      <c r="K220" t="s">
        <v>104</v>
      </c>
      <c r="L220" t="s">
        <v>121</v>
      </c>
      <c r="M220" t="s">
        <v>122</v>
      </c>
      <c r="N220" t="s">
        <v>123</v>
      </c>
      <c r="O220" t="s">
        <v>124</v>
      </c>
    </row>
    <row r="221" spans="1:15" x14ac:dyDescent="0.45">
      <c r="A221">
        <f t="shared" si="3"/>
        <v>220</v>
      </c>
      <c r="B221" s="14">
        <v>43262</v>
      </c>
      <c r="C221" s="14">
        <f>EOMONTH(tbl_GLSalesDetail[[#This Row],[Date]],-1)+1</f>
        <v>43252</v>
      </c>
      <c r="D221" s="17">
        <v>1001</v>
      </c>
      <c r="E221" t="s">
        <v>125</v>
      </c>
      <c r="F221" t="s">
        <v>93</v>
      </c>
      <c r="G221" t="s">
        <v>126</v>
      </c>
      <c r="H221" t="s">
        <v>102</v>
      </c>
      <c r="I221" t="s">
        <v>103</v>
      </c>
      <c r="J221" s="18">
        <v>26895.275000000001</v>
      </c>
      <c r="K221" t="s">
        <v>97</v>
      </c>
      <c r="L221" t="s">
        <v>129</v>
      </c>
      <c r="M221" t="s">
        <v>130</v>
      </c>
      <c r="N221" t="s">
        <v>131</v>
      </c>
      <c r="O221" t="s">
        <v>132</v>
      </c>
    </row>
    <row r="222" spans="1:15" x14ac:dyDescent="0.45">
      <c r="A222">
        <f t="shared" si="3"/>
        <v>221</v>
      </c>
      <c r="B222" s="14">
        <v>43262</v>
      </c>
      <c r="C222" s="14">
        <f>EOMONTH(tbl_GLSalesDetail[[#This Row],[Date]],-1)+1</f>
        <v>43252</v>
      </c>
      <c r="D222" s="17">
        <v>1001</v>
      </c>
      <c r="E222" t="s">
        <v>125</v>
      </c>
      <c r="F222" t="s">
        <v>93</v>
      </c>
      <c r="G222" t="s">
        <v>126</v>
      </c>
      <c r="H222" t="s">
        <v>169</v>
      </c>
      <c r="I222" t="s">
        <v>170</v>
      </c>
      <c r="J222" s="18">
        <v>11781</v>
      </c>
      <c r="K222" t="s">
        <v>97</v>
      </c>
      <c r="L222" t="s">
        <v>129</v>
      </c>
      <c r="M222" t="s">
        <v>130</v>
      </c>
      <c r="N222" t="s">
        <v>131</v>
      </c>
      <c r="O222" t="s">
        <v>132</v>
      </c>
    </row>
    <row r="223" spans="1:15" x14ac:dyDescent="0.45">
      <c r="A223">
        <f t="shared" si="3"/>
        <v>222</v>
      </c>
      <c r="B223" s="14">
        <v>43262</v>
      </c>
      <c r="C223" s="14">
        <f>EOMONTH(tbl_GLSalesDetail[[#This Row],[Date]],-1)+1</f>
        <v>43252</v>
      </c>
      <c r="D223" s="17">
        <v>1001</v>
      </c>
      <c r="E223" t="s">
        <v>125</v>
      </c>
      <c r="F223" t="s">
        <v>93</v>
      </c>
      <c r="G223" t="s">
        <v>126</v>
      </c>
      <c r="H223" t="s">
        <v>205</v>
      </c>
      <c r="I223" t="s">
        <v>206</v>
      </c>
      <c r="J223" s="18">
        <v>19331.125</v>
      </c>
      <c r="K223" t="s">
        <v>97</v>
      </c>
      <c r="L223" t="s">
        <v>129</v>
      </c>
      <c r="M223" t="s">
        <v>130</v>
      </c>
      <c r="N223" t="s">
        <v>131</v>
      </c>
      <c r="O223" t="s">
        <v>132</v>
      </c>
    </row>
    <row r="224" spans="1:15" x14ac:dyDescent="0.45">
      <c r="A224">
        <f t="shared" si="3"/>
        <v>223</v>
      </c>
      <c r="B224" s="14">
        <v>43270</v>
      </c>
      <c r="C224" s="14">
        <f>EOMONTH(tbl_GLSalesDetail[[#This Row],[Date]],-1)+1</f>
        <v>43252</v>
      </c>
      <c r="D224" s="17">
        <v>1001</v>
      </c>
      <c r="E224" t="s">
        <v>155</v>
      </c>
      <c r="F224" t="s">
        <v>117</v>
      </c>
      <c r="G224" t="s">
        <v>156</v>
      </c>
      <c r="H224" t="s">
        <v>176</v>
      </c>
      <c r="I224" t="s">
        <v>177</v>
      </c>
      <c r="J224" s="18">
        <v>3791.4250000000002</v>
      </c>
      <c r="K224" t="s">
        <v>97</v>
      </c>
      <c r="L224" t="s">
        <v>158</v>
      </c>
      <c r="M224" t="s">
        <v>159</v>
      </c>
      <c r="N224" t="s">
        <v>140</v>
      </c>
      <c r="O224" t="s">
        <v>141</v>
      </c>
    </row>
    <row r="225" spans="1:15" x14ac:dyDescent="0.45">
      <c r="A225">
        <f t="shared" si="3"/>
        <v>224</v>
      </c>
      <c r="B225" s="14">
        <v>43274</v>
      </c>
      <c r="C225" s="14">
        <f>EOMONTH(tbl_GLSalesDetail[[#This Row],[Date]],-1)+1</f>
        <v>43252</v>
      </c>
      <c r="D225" s="17">
        <v>1001</v>
      </c>
      <c r="E225" t="s">
        <v>116</v>
      </c>
      <c r="F225" t="s">
        <v>117</v>
      </c>
      <c r="G225" t="s">
        <v>118</v>
      </c>
      <c r="H225" t="s">
        <v>142</v>
      </c>
      <c r="I225" t="s">
        <v>149</v>
      </c>
      <c r="J225" s="18">
        <v>22799.975000000002</v>
      </c>
      <c r="K225" t="s">
        <v>145</v>
      </c>
      <c r="L225" t="s">
        <v>121</v>
      </c>
      <c r="M225" t="s">
        <v>122</v>
      </c>
      <c r="N225" t="s">
        <v>123</v>
      </c>
      <c r="O225" t="s">
        <v>124</v>
      </c>
    </row>
    <row r="226" spans="1:15" x14ac:dyDescent="0.45">
      <c r="A226">
        <f t="shared" si="3"/>
        <v>225</v>
      </c>
      <c r="B226" s="14">
        <v>43274</v>
      </c>
      <c r="C226" s="14">
        <f>EOMONTH(tbl_GLSalesDetail[[#This Row],[Date]],-1)+1</f>
        <v>43252</v>
      </c>
      <c r="D226" s="17">
        <v>1001</v>
      </c>
      <c r="E226" t="s">
        <v>116</v>
      </c>
      <c r="F226" t="s">
        <v>117</v>
      </c>
      <c r="G226" t="s">
        <v>118</v>
      </c>
      <c r="H226" t="s">
        <v>142</v>
      </c>
      <c r="I226" t="s">
        <v>154</v>
      </c>
      <c r="J226" s="18">
        <v>44693</v>
      </c>
      <c r="K226" t="s">
        <v>145</v>
      </c>
      <c r="L226" t="s">
        <v>121</v>
      </c>
      <c r="M226" t="s">
        <v>122</v>
      </c>
      <c r="N226" t="s">
        <v>123</v>
      </c>
      <c r="O226" t="s">
        <v>124</v>
      </c>
    </row>
    <row r="227" spans="1:15" x14ac:dyDescent="0.45">
      <c r="A227">
        <f t="shared" si="3"/>
        <v>226</v>
      </c>
      <c r="B227" s="14">
        <v>43274</v>
      </c>
      <c r="C227" s="14">
        <f>EOMONTH(tbl_GLSalesDetail[[#This Row],[Date]],-1)+1</f>
        <v>43252</v>
      </c>
      <c r="D227" s="17">
        <v>1001</v>
      </c>
      <c r="E227" t="s">
        <v>116</v>
      </c>
      <c r="F227" t="s">
        <v>117</v>
      </c>
      <c r="G227" t="s">
        <v>118</v>
      </c>
      <c r="H227" t="s">
        <v>142</v>
      </c>
      <c r="I227" t="s">
        <v>149</v>
      </c>
      <c r="J227" s="18">
        <v>32514.625000000004</v>
      </c>
      <c r="K227" t="s">
        <v>97</v>
      </c>
      <c r="L227" t="s">
        <v>121</v>
      </c>
      <c r="M227" t="s">
        <v>122</v>
      </c>
      <c r="N227" t="s">
        <v>123</v>
      </c>
      <c r="O227" t="s">
        <v>124</v>
      </c>
    </row>
    <row r="228" spans="1:15" x14ac:dyDescent="0.45">
      <c r="A228">
        <f t="shared" si="3"/>
        <v>227</v>
      </c>
      <c r="B228" s="14">
        <v>43274</v>
      </c>
      <c r="C228" s="14">
        <f>EOMONTH(tbl_GLSalesDetail[[#This Row],[Date]],-1)+1</f>
        <v>43252</v>
      </c>
      <c r="D228" s="17">
        <v>1001</v>
      </c>
      <c r="E228" t="s">
        <v>116</v>
      </c>
      <c r="F228" t="s">
        <v>117</v>
      </c>
      <c r="G228" t="s">
        <v>118</v>
      </c>
      <c r="H228" t="s">
        <v>142</v>
      </c>
      <c r="I228" t="s">
        <v>149</v>
      </c>
      <c r="J228" s="18">
        <v>37414.025000000001</v>
      </c>
      <c r="K228" t="s">
        <v>97</v>
      </c>
      <c r="L228" t="s">
        <v>121</v>
      </c>
      <c r="M228" t="s">
        <v>122</v>
      </c>
      <c r="N228" t="s">
        <v>123</v>
      </c>
      <c r="O228" t="s">
        <v>124</v>
      </c>
    </row>
    <row r="229" spans="1:15" x14ac:dyDescent="0.45">
      <c r="A229">
        <f t="shared" si="3"/>
        <v>228</v>
      </c>
      <c r="B229" s="14">
        <v>43274</v>
      </c>
      <c r="C229" s="14">
        <f>EOMONTH(tbl_GLSalesDetail[[#This Row],[Date]],-1)+1</f>
        <v>43252</v>
      </c>
      <c r="D229" s="17">
        <v>1001</v>
      </c>
      <c r="E229" t="s">
        <v>116</v>
      </c>
      <c r="F229" t="s">
        <v>117</v>
      </c>
      <c r="G229" t="s">
        <v>118</v>
      </c>
      <c r="H229" t="s">
        <v>142</v>
      </c>
      <c r="I229" t="s">
        <v>154</v>
      </c>
      <c r="J229" s="18">
        <v>8564.6</v>
      </c>
      <c r="K229" t="s">
        <v>97</v>
      </c>
      <c r="L229" t="s">
        <v>121</v>
      </c>
      <c r="M229" t="s">
        <v>122</v>
      </c>
      <c r="N229" t="s">
        <v>123</v>
      </c>
      <c r="O229" t="s">
        <v>124</v>
      </c>
    </row>
    <row r="230" spans="1:15" x14ac:dyDescent="0.45">
      <c r="A230">
        <f t="shared" si="3"/>
        <v>229</v>
      </c>
      <c r="B230" s="14">
        <v>43274</v>
      </c>
      <c r="C230" s="14">
        <f>EOMONTH(tbl_GLSalesDetail[[#This Row],[Date]],-1)+1</f>
        <v>43252</v>
      </c>
      <c r="D230" s="17">
        <v>1002</v>
      </c>
      <c r="E230" t="s">
        <v>116</v>
      </c>
      <c r="F230" t="s">
        <v>117</v>
      </c>
      <c r="G230" t="s">
        <v>118</v>
      </c>
      <c r="H230" t="s">
        <v>142</v>
      </c>
      <c r="I230" t="s">
        <v>154</v>
      </c>
      <c r="J230" s="18">
        <v>25544.2</v>
      </c>
      <c r="K230" t="s">
        <v>104</v>
      </c>
      <c r="L230" t="s">
        <v>121</v>
      </c>
      <c r="M230" t="s">
        <v>122</v>
      </c>
      <c r="N230" t="s">
        <v>123</v>
      </c>
      <c r="O230" t="s">
        <v>124</v>
      </c>
    </row>
    <row r="231" spans="1:15" x14ac:dyDescent="0.45">
      <c r="A231">
        <f t="shared" si="3"/>
        <v>230</v>
      </c>
      <c r="B231" s="14">
        <v>43285</v>
      </c>
      <c r="C231" s="14">
        <f>EOMONTH(tbl_GLSalesDetail[[#This Row],[Date]],-1)+1</f>
        <v>43282</v>
      </c>
      <c r="D231" s="17">
        <v>1001</v>
      </c>
      <c r="E231" t="s">
        <v>136</v>
      </c>
      <c r="F231" t="s">
        <v>106</v>
      </c>
      <c r="G231" t="s">
        <v>137</v>
      </c>
      <c r="H231" t="s">
        <v>119</v>
      </c>
      <c r="I231" t="s">
        <v>120</v>
      </c>
      <c r="J231" s="18">
        <v>43846.825000000004</v>
      </c>
      <c r="K231" t="s">
        <v>145</v>
      </c>
      <c r="L231" t="s">
        <v>138</v>
      </c>
      <c r="M231" t="s">
        <v>139</v>
      </c>
      <c r="N231" t="s">
        <v>140</v>
      </c>
      <c r="O231" t="s">
        <v>141</v>
      </c>
    </row>
    <row r="232" spans="1:15" x14ac:dyDescent="0.45">
      <c r="A232">
        <f t="shared" si="3"/>
        <v>231</v>
      </c>
      <c r="B232" s="14">
        <v>43287</v>
      </c>
      <c r="C232" s="14">
        <f>EOMONTH(tbl_GLSalesDetail[[#This Row],[Date]],-1)+1</f>
        <v>43282</v>
      </c>
      <c r="D232" s="17">
        <v>1001</v>
      </c>
      <c r="E232" t="s">
        <v>92</v>
      </c>
      <c r="F232" t="s">
        <v>93</v>
      </c>
      <c r="G232" t="s">
        <v>94</v>
      </c>
      <c r="H232" t="s">
        <v>205</v>
      </c>
      <c r="I232" t="s">
        <v>206</v>
      </c>
      <c r="J232" s="18">
        <v>40200.325000000004</v>
      </c>
      <c r="K232" t="s">
        <v>97</v>
      </c>
      <c r="L232" t="s">
        <v>98</v>
      </c>
      <c r="M232" t="s">
        <v>99</v>
      </c>
      <c r="N232" t="s">
        <v>100</v>
      </c>
      <c r="O232" t="s">
        <v>101</v>
      </c>
    </row>
    <row r="233" spans="1:15" x14ac:dyDescent="0.45">
      <c r="A233">
        <f t="shared" si="3"/>
        <v>232</v>
      </c>
      <c r="B233" s="14">
        <v>43287</v>
      </c>
      <c r="C233" s="14">
        <f>EOMONTH(tbl_GLSalesDetail[[#This Row],[Date]],-1)+1</f>
        <v>43282</v>
      </c>
      <c r="D233" s="17">
        <v>1001</v>
      </c>
      <c r="E233" t="s">
        <v>105</v>
      </c>
      <c r="F233" t="s">
        <v>106</v>
      </c>
      <c r="G233" t="s">
        <v>107</v>
      </c>
      <c r="H233" t="s">
        <v>127</v>
      </c>
      <c r="I233" t="s">
        <v>128</v>
      </c>
      <c r="J233" s="18">
        <v>14202.650000000001</v>
      </c>
      <c r="K233" t="s">
        <v>97</v>
      </c>
      <c r="L233" t="s">
        <v>110</v>
      </c>
      <c r="M233" t="s">
        <v>111</v>
      </c>
      <c r="N233" t="s">
        <v>112</v>
      </c>
      <c r="O233" t="s">
        <v>113</v>
      </c>
    </row>
    <row r="234" spans="1:15" x14ac:dyDescent="0.45">
      <c r="A234">
        <f t="shared" si="3"/>
        <v>233</v>
      </c>
      <c r="B234" s="14">
        <v>43287</v>
      </c>
      <c r="C234" s="14">
        <f>EOMONTH(tbl_GLSalesDetail[[#This Row],[Date]],-1)+1</f>
        <v>43282</v>
      </c>
      <c r="D234" s="17">
        <v>1002</v>
      </c>
      <c r="E234" t="s">
        <v>92</v>
      </c>
      <c r="F234" t="s">
        <v>93</v>
      </c>
      <c r="G234" t="s">
        <v>94</v>
      </c>
      <c r="H234" t="s">
        <v>142</v>
      </c>
      <c r="I234" t="s">
        <v>154</v>
      </c>
      <c r="J234" s="18">
        <v>30308.025000000001</v>
      </c>
      <c r="K234" t="s">
        <v>104</v>
      </c>
      <c r="L234" t="s">
        <v>98</v>
      </c>
      <c r="M234" t="s">
        <v>99</v>
      </c>
      <c r="N234" t="s">
        <v>100</v>
      </c>
      <c r="O234" t="s">
        <v>101</v>
      </c>
    </row>
    <row r="235" spans="1:15" x14ac:dyDescent="0.45">
      <c r="A235">
        <f t="shared" si="3"/>
        <v>234</v>
      </c>
      <c r="B235" s="14">
        <v>43288</v>
      </c>
      <c r="C235" s="14">
        <f>EOMONTH(tbl_GLSalesDetail[[#This Row],[Date]],-1)+1</f>
        <v>43282</v>
      </c>
      <c r="D235" s="17">
        <v>1001</v>
      </c>
      <c r="E235" t="s">
        <v>105</v>
      </c>
      <c r="F235" t="s">
        <v>106</v>
      </c>
      <c r="G235" t="s">
        <v>107</v>
      </c>
      <c r="H235" t="s">
        <v>142</v>
      </c>
      <c r="I235" t="s">
        <v>149</v>
      </c>
      <c r="J235" s="18">
        <v>26151.95</v>
      </c>
      <c r="K235" t="s">
        <v>97</v>
      </c>
      <c r="L235" t="s">
        <v>110</v>
      </c>
      <c r="M235" t="s">
        <v>111</v>
      </c>
      <c r="N235" t="s">
        <v>112</v>
      </c>
      <c r="O235" t="s">
        <v>113</v>
      </c>
    </row>
    <row r="236" spans="1:15" x14ac:dyDescent="0.45">
      <c r="A236">
        <f t="shared" si="3"/>
        <v>235</v>
      </c>
      <c r="B236" s="14">
        <v>43288</v>
      </c>
      <c r="C236" s="14">
        <f>EOMONTH(tbl_GLSalesDetail[[#This Row],[Date]],-1)+1</f>
        <v>43282</v>
      </c>
      <c r="D236" s="17">
        <v>1002</v>
      </c>
      <c r="E236" t="s">
        <v>105</v>
      </c>
      <c r="F236" t="s">
        <v>106</v>
      </c>
      <c r="G236" t="s">
        <v>107</v>
      </c>
      <c r="H236" t="s">
        <v>176</v>
      </c>
      <c r="I236" t="s">
        <v>177</v>
      </c>
      <c r="J236" s="18">
        <v>3164.9750000000004</v>
      </c>
      <c r="K236" t="s">
        <v>104</v>
      </c>
      <c r="L236" t="s">
        <v>110</v>
      </c>
      <c r="M236" t="s">
        <v>111</v>
      </c>
      <c r="N236" t="s">
        <v>112</v>
      </c>
      <c r="O236" t="s">
        <v>113</v>
      </c>
    </row>
    <row r="237" spans="1:15" x14ac:dyDescent="0.45">
      <c r="A237">
        <f t="shared" si="3"/>
        <v>236</v>
      </c>
      <c r="B237" s="14">
        <v>43289</v>
      </c>
      <c r="C237" s="14">
        <f>EOMONTH(tbl_GLSalesDetail[[#This Row],[Date]],-1)+1</f>
        <v>43282</v>
      </c>
      <c r="D237" s="17">
        <v>1001</v>
      </c>
      <c r="E237" t="s">
        <v>155</v>
      </c>
      <c r="F237" t="s">
        <v>117</v>
      </c>
      <c r="G237" t="s">
        <v>156</v>
      </c>
      <c r="H237" t="s">
        <v>119</v>
      </c>
      <c r="I237" t="s">
        <v>133</v>
      </c>
      <c r="J237" s="18">
        <v>22645.7</v>
      </c>
      <c r="K237" t="s">
        <v>97</v>
      </c>
      <c r="L237" t="s">
        <v>158</v>
      </c>
      <c r="M237" t="s">
        <v>159</v>
      </c>
      <c r="N237" t="s">
        <v>140</v>
      </c>
      <c r="O237" t="s">
        <v>141</v>
      </c>
    </row>
    <row r="238" spans="1:15" x14ac:dyDescent="0.45">
      <c r="A238">
        <f t="shared" si="3"/>
        <v>237</v>
      </c>
      <c r="B238" s="14">
        <v>43289</v>
      </c>
      <c r="C238" s="14">
        <f>EOMONTH(tbl_GLSalesDetail[[#This Row],[Date]],-1)+1</f>
        <v>43282</v>
      </c>
      <c r="D238" s="17">
        <v>1002</v>
      </c>
      <c r="E238" t="s">
        <v>155</v>
      </c>
      <c r="F238" t="s">
        <v>117</v>
      </c>
      <c r="G238" t="s">
        <v>156</v>
      </c>
      <c r="H238" t="s">
        <v>169</v>
      </c>
      <c r="I238" t="s">
        <v>186</v>
      </c>
      <c r="J238" s="18">
        <v>41336.350000000006</v>
      </c>
      <c r="K238" t="s">
        <v>104</v>
      </c>
      <c r="L238" t="s">
        <v>158</v>
      </c>
      <c r="M238" t="s">
        <v>159</v>
      </c>
      <c r="N238" t="s">
        <v>140</v>
      </c>
      <c r="O238" t="s">
        <v>141</v>
      </c>
    </row>
    <row r="239" spans="1:15" x14ac:dyDescent="0.45">
      <c r="A239">
        <f t="shared" si="3"/>
        <v>238</v>
      </c>
      <c r="B239" s="14">
        <v>43290</v>
      </c>
      <c r="C239" s="14">
        <f>EOMONTH(tbl_GLSalesDetail[[#This Row],[Date]],-1)+1</f>
        <v>43282</v>
      </c>
      <c r="D239" s="17">
        <v>1002</v>
      </c>
      <c r="E239" t="s">
        <v>146</v>
      </c>
      <c r="F239" t="s">
        <v>147</v>
      </c>
      <c r="G239" t="s">
        <v>148</v>
      </c>
      <c r="H239" t="s">
        <v>95</v>
      </c>
      <c r="I239" t="s">
        <v>96</v>
      </c>
      <c r="J239" s="18">
        <v>29298.225000000002</v>
      </c>
      <c r="K239" t="s">
        <v>104</v>
      </c>
      <c r="L239" t="s">
        <v>150</v>
      </c>
      <c r="M239" t="s">
        <v>151</v>
      </c>
      <c r="N239" t="s">
        <v>152</v>
      </c>
      <c r="O239" t="s">
        <v>153</v>
      </c>
    </row>
    <row r="240" spans="1:15" x14ac:dyDescent="0.45">
      <c r="A240">
        <f t="shared" si="3"/>
        <v>239</v>
      </c>
      <c r="B240" s="14">
        <v>43293</v>
      </c>
      <c r="C240" s="14">
        <f>EOMONTH(tbl_GLSalesDetail[[#This Row],[Date]],-1)+1</f>
        <v>43282</v>
      </c>
      <c r="D240" s="17">
        <v>1002</v>
      </c>
      <c r="E240" t="s">
        <v>125</v>
      </c>
      <c r="F240" t="s">
        <v>93</v>
      </c>
      <c r="G240" t="s">
        <v>126</v>
      </c>
      <c r="H240" t="s">
        <v>102</v>
      </c>
      <c r="I240" t="s">
        <v>161</v>
      </c>
      <c r="J240" s="18">
        <v>42589.25</v>
      </c>
      <c r="K240" t="s">
        <v>104</v>
      </c>
      <c r="L240" t="s">
        <v>129</v>
      </c>
      <c r="M240" t="s">
        <v>130</v>
      </c>
      <c r="N240" t="s">
        <v>131</v>
      </c>
      <c r="O240" t="s">
        <v>132</v>
      </c>
    </row>
    <row r="241" spans="1:15" x14ac:dyDescent="0.45">
      <c r="A241">
        <f t="shared" si="3"/>
        <v>240</v>
      </c>
      <c r="B241" s="14">
        <v>43294</v>
      </c>
      <c r="C241" s="14">
        <f>EOMONTH(tbl_GLSalesDetail[[#This Row],[Date]],-1)+1</f>
        <v>43282</v>
      </c>
      <c r="D241" s="17">
        <v>1001</v>
      </c>
      <c r="E241" t="s">
        <v>125</v>
      </c>
      <c r="F241" t="s">
        <v>93</v>
      </c>
      <c r="G241" t="s">
        <v>126</v>
      </c>
      <c r="H241" t="s">
        <v>119</v>
      </c>
      <c r="I241" t="s">
        <v>133</v>
      </c>
      <c r="J241" s="18">
        <v>30392.175000000003</v>
      </c>
      <c r="K241" t="s">
        <v>97</v>
      </c>
      <c r="L241" t="s">
        <v>129</v>
      </c>
      <c r="M241" t="s">
        <v>130</v>
      </c>
      <c r="N241" t="s">
        <v>131</v>
      </c>
      <c r="O241" t="s">
        <v>132</v>
      </c>
    </row>
    <row r="242" spans="1:15" x14ac:dyDescent="0.45">
      <c r="A242">
        <f t="shared" si="3"/>
        <v>241</v>
      </c>
      <c r="B242" s="14">
        <v>43294</v>
      </c>
      <c r="C242" s="14">
        <f>EOMONTH(tbl_GLSalesDetail[[#This Row],[Date]],-1)+1</f>
        <v>43282</v>
      </c>
      <c r="D242" s="17">
        <v>1001</v>
      </c>
      <c r="E242" t="s">
        <v>125</v>
      </c>
      <c r="F242" t="s">
        <v>93</v>
      </c>
      <c r="G242" t="s">
        <v>126</v>
      </c>
      <c r="H242" t="s">
        <v>142</v>
      </c>
      <c r="I242" t="s">
        <v>154</v>
      </c>
      <c r="J242" s="18">
        <v>27638.600000000002</v>
      </c>
      <c r="K242" t="s">
        <v>97</v>
      </c>
      <c r="L242" t="s">
        <v>129</v>
      </c>
      <c r="M242" t="s">
        <v>130</v>
      </c>
      <c r="N242" t="s">
        <v>131</v>
      </c>
      <c r="O242" t="s">
        <v>132</v>
      </c>
    </row>
    <row r="243" spans="1:15" x14ac:dyDescent="0.45">
      <c r="A243">
        <f t="shared" si="3"/>
        <v>242</v>
      </c>
      <c r="B243" s="14">
        <v>43295</v>
      </c>
      <c r="C243" s="14">
        <f>EOMONTH(tbl_GLSalesDetail[[#This Row],[Date]],-1)+1</f>
        <v>43282</v>
      </c>
      <c r="D243" s="17">
        <v>1002</v>
      </c>
      <c r="E243" t="s">
        <v>155</v>
      </c>
      <c r="F243" t="s">
        <v>117</v>
      </c>
      <c r="G243" t="s">
        <v>156</v>
      </c>
      <c r="H243" t="s">
        <v>108</v>
      </c>
      <c r="I243" t="s">
        <v>109</v>
      </c>
      <c r="J243" s="18">
        <v>43842.15</v>
      </c>
      <c r="K243" t="s">
        <v>104</v>
      </c>
      <c r="L243" t="s">
        <v>158</v>
      </c>
      <c r="M243" t="s">
        <v>159</v>
      </c>
      <c r="N243" t="s">
        <v>140</v>
      </c>
      <c r="O243" t="s">
        <v>141</v>
      </c>
    </row>
    <row r="244" spans="1:15" x14ac:dyDescent="0.45">
      <c r="A244">
        <f t="shared" si="3"/>
        <v>243</v>
      </c>
      <c r="B244" s="14">
        <v>43296</v>
      </c>
      <c r="C244" s="14">
        <f>EOMONTH(tbl_GLSalesDetail[[#This Row],[Date]],-1)+1</f>
        <v>43282</v>
      </c>
      <c r="D244" s="17">
        <v>1001</v>
      </c>
      <c r="E244" t="s">
        <v>125</v>
      </c>
      <c r="F244" t="s">
        <v>93</v>
      </c>
      <c r="G244" t="s">
        <v>126</v>
      </c>
      <c r="H244" t="s">
        <v>134</v>
      </c>
      <c r="I244" t="s">
        <v>135</v>
      </c>
      <c r="J244" s="18">
        <v>38040.474999999999</v>
      </c>
      <c r="K244" t="s">
        <v>145</v>
      </c>
      <c r="L244" t="s">
        <v>129</v>
      </c>
      <c r="M244" t="s">
        <v>130</v>
      </c>
      <c r="N244" t="s">
        <v>131</v>
      </c>
      <c r="O244" t="s">
        <v>132</v>
      </c>
    </row>
    <row r="245" spans="1:15" x14ac:dyDescent="0.45">
      <c r="A245">
        <f t="shared" si="3"/>
        <v>244</v>
      </c>
      <c r="B245" s="14">
        <v>43296</v>
      </c>
      <c r="C245" s="14">
        <f>EOMONTH(tbl_GLSalesDetail[[#This Row],[Date]],-1)+1</f>
        <v>43282</v>
      </c>
      <c r="D245" s="17">
        <v>1001</v>
      </c>
      <c r="E245" t="s">
        <v>146</v>
      </c>
      <c r="F245" t="s">
        <v>147</v>
      </c>
      <c r="G245" t="s">
        <v>148</v>
      </c>
      <c r="H245" t="s">
        <v>142</v>
      </c>
      <c r="I245" t="s">
        <v>149</v>
      </c>
      <c r="J245" s="18">
        <v>22893.475000000002</v>
      </c>
      <c r="K245" t="s">
        <v>145</v>
      </c>
      <c r="L245" t="s">
        <v>150</v>
      </c>
      <c r="M245" t="s">
        <v>151</v>
      </c>
      <c r="N245" t="s">
        <v>152</v>
      </c>
      <c r="O245" t="s">
        <v>153</v>
      </c>
    </row>
    <row r="246" spans="1:15" x14ac:dyDescent="0.45">
      <c r="A246">
        <f t="shared" si="3"/>
        <v>245</v>
      </c>
      <c r="B246" s="14">
        <v>43296</v>
      </c>
      <c r="C246" s="14">
        <f>EOMONTH(tbl_GLSalesDetail[[#This Row],[Date]],-1)+1</f>
        <v>43282</v>
      </c>
      <c r="D246" s="17">
        <v>1002</v>
      </c>
      <c r="E246" t="s">
        <v>136</v>
      </c>
      <c r="F246" t="s">
        <v>106</v>
      </c>
      <c r="G246" t="s">
        <v>137</v>
      </c>
      <c r="H246" t="s">
        <v>142</v>
      </c>
      <c r="I246" t="s">
        <v>157</v>
      </c>
      <c r="J246" s="18">
        <v>15941.75</v>
      </c>
      <c r="K246" t="s">
        <v>104</v>
      </c>
      <c r="L246" t="s">
        <v>138</v>
      </c>
      <c r="M246" t="s">
        <v>139</v>
      </c>
      <c r="N246" t="s">
        <v>140</v>
      </c>
      <c r="O246" t="s">
        <v>141</v>
      </c>
    </row>
    <row r="247" spans="1:15" x14ac:dyDescent="0.45">
      <c r="A247">
        <f t="shared" si="3"/>
        <v>246</v>
      </c>
      <c r="B247" s="14">
        <v>43296</v>
      </c>
      <c r="C247" s="14">
        <f>EOMONTH(tbl_GLSalesDetail[[#This Row],[Date]],-1)+1</f>
        <v>43282</v>
      </c>
      <c r="D247" s="17">
        <v>1002</v>
      </c>
      <c r="E247" t="s">
        <v>146</v>
      </c>
      <c r="F247" t="s">
        <v>147</v>
      </c>
      <c r="G247" t="s">
        <v>171</v>
      </c>
      <c r="H247" t="s">
        <v>119</v>
      </c>
      <c r="I247" t="s">
        <v>120</v>
      </c>
      <c r="J247" s="18">
        <v>29284.2</v>
      </c>
      <c r="K247" t="s">
        <v>104</v>
      </c>
      <c r="L247" t="s">
        <v>172</v>
      </c>
      <c r="M247" t="s">
        <v>173</v>
      </c>
      <c r="N247" t="s">
        <v>174</v>
      </c>
      <c r="O247" t="s">
        <v>175</v>
      </c>
    </row>
    <row r="248" spans="1:15" x14ac:dyDescent="0.45">
      <c r="A248">
        <f t="shared" si="3"/>
        <v>247</v>
      </c>
      <c r="B248" s="14">
        <v>43301</v>
      </c>
      <c r="C248" s="14">
        <f>EOMONTH(tbl_GLSalesDetail[[#This Row],[Date]],-1)+1</f>
        <v>43282</v>
      </c>
      <c r="D248" s="17">
        <v>1001</v>
      </c>
      <c r="E248" t="s">
        <v>116</v>
      </c>
      <c r="F248" t="s">
        <v>117</v>
      </c>
      <c r="G248" t="s">
        <v>118</v>
      </c>
      <c r="H248" t="s">
        <v>119</v>
      </c>
      <c r="I248" t="s">
        <v>133</v>
      </c>
      <c r="J248" s="18">
        <v>40242.400000000001</v>
      </c>
      <c r="K248" t="s">
        <v>145</v>
      </c>
      <c r="L248" t="s">
        <v>121</v>
      </c>
      <c r="M248" t="s">
        <v>122</v>
      </c>
      <c r="N248" t="s">
        <v>123</v>
      </c>
      <c r="O248" t="s">
        <v>124</v>
      </c>
    </row>
    <row r="249" spans="1:15" x14ac:dyDescent="0.45">
      <c r="A249">
        <f t="shared" si="3"/>
        <v>248</v>
      </c>
      <c r="B249" s="14">
        <v>43301</v>
      </c>
      <c r="C249" s="14">
        <f>EOMONTH(tbl_GLSalesDetail[[#This Row],[Date]],-1)+1</f>
        <v>43282</v>
      </c>
      <c r="D249" s="17">
        <v>1001</v>
      </c>
      <c r="E249" t="s">
        <v>146</v>
      </c>
      <c r="F249" t="s">
        <v>147</v>
      </c>
      <c r="G249" t="s">
        <v>180</v>
      </c>
      <c r="H249" t="s">
        <v>142</v>
      </c>
      <c r="I249" t="s">
        <v>157</v>
      </c>
      <c r="J249" s="18">
        <v>34580.974999999999</v>
      </c>
      <c r="K249" t="s">
        <v>145</v>
      </c>
      <c r="L249" t="s">
        <v>181</v>
      </c>
      <c r="M249" t="s">
        <v>182</v>
      </c>
      <c r="N249" t="s">
        <v>183</v>
      </c>
      <c r="O249" t="s">
        <v>184</v>
      </c>
    </row>
    <row r="250" spans="1:15" x14ac:dyDescent="0.45">
      <c r="A250">
        <f t="shared" si="3"/>
        <v>249</v>
      </c>
      <c r="B250" s="14">
        <v>43301</v>
      </c>
      <c r="C250" s="14">
        <f>EOMONTH(tbl_GLSalesDetail[[#This Row],[Date]],-1)+1</f>
        <v>43282</v>
      </c>
      <c r="D250" s="17">
        <v>1001</v>
      </c>
      <c r="E250" t="s">
        <v>116</v>
      </c>
      <c r="F250" t="s">
        <v>117</v>
      </c>
      <c r="G250" t="s">
        <v>118</v>
      </c>
      <c r="H250" t="s">
        <v>142</v>
      </c>
      <c r="I250" t="s">
        <v>149</v>
      </c>
      <c r="J250" s="18">
        <v>7994.2500000000009</v>
      </c>
      <c r="K250" t="s">
        <v>145</v>
      </c>
      <c r="L250" t="s">
        <v>121</v>
      </c>
      <c r="M250" t="s">
        <v>122</v>
      </c>
      <c r="N250" t="s">
        <v>123</v>
      </c>
      <c r="O250" t="s">
        <v>124</v>
      </c>
    </row>
    <row r="251" spans="1:15" x14ac:dyDescent="0.45">
      <c r="A251">
        <f t="shared" si="3"/>
        <v>250</v>
      </c>
      <c r="B251" s="14">
        <v>43301</v>
      </c>
      <c r="C251" s="14">
        <f>EOMONTH(tbl_GLSalesDetail[[#This Row],[Date]],-1)+1</f>
        <v>43282</v>
      </c>
      <c r="D251" s="17">
        <v>1001</v>
      </c>
      <c r="E251" t="s">
        <v>136</v>
      </c>
      <c r="F251" t="s">
        <v>106</v>
      </c>
      <c r="G251" t="s">
        <v>137</v>
      </c>
      <c r="H251" t="s">
        <v>205</v>
      </c>
      <c r="I251" t="s">
        <v>206</v>
      </c>
      <c r="J251" s="18">
        <v>65.45</v>
      </c>
      <c r="K251" t="s">
        <v>145</v>
      </c>
      <c r="L251" t="s">
        <v>138</v>
      </c>
      <c r="M251" t="s">
        <v>139</v>
      </c>
      <c r="N251" t="s">
        <v>140</v>
      </c>
      <c r="O251" t="s">
        <v>141</v>
      </c>
    </row>
    <row r="252" spans="1:15" x14ac:dyDescent="0.45">
      <c r="A252">
        <f t="shared" si="3"/>
        <v>251</v>
      </c>
      <c r="B252" s="14">
        <v>43301</v>
      </c>
      <c r="C252" s="14">
        <f>EOMONTH(tbl_GLSalesDetail[[#This Row],[Date]],-1)+1</f>
        <v>43282</v>
      </c>
      <c r="D252" s="17">
        <v>1001</v>
      </c>
      <c r="E252" t="s">
        <v>146</v>
      </c>
      <c r="F252" t="s">
        <v>147</v>
      </c>
      <c r="G252" t="s">
        <v>180</v>
      </c>
      <c r="H252" t="s">
        <v>102</v>
      </c>
      <c r="I252" t="s">
        <v>144</v>
      </c>
      <c r="J252" s="18">
        <v>38419.15</v>
      </c>
      <c r="K252" t="s">
        <v>97</v>
      </c>
      <c r="L252" t="s">
        <v>181</v>
      </c>
      <c r="M252" t="s">
        <v>182</v>
      </c>
      <c r="N252" t="s">
        <v>183</v>
      </c>
      <c r="O252" t="s">
        <v>184</v>
      </c>
    </row>
    <row r="253" spans="1:15" x14ac:dyDescent="0.45">
      <c r="A253">
        <f t="shared" si="3"/>
        <v>252</v>
      </c>
      <c r="B253" s="14">
        <v>43301</v>
      </c>
      <c r="C253" s="14">
        <f>EOMONTH(tbl_GLSalesDetail[[#This Row],[Date]],-1)+1</f>
        <v>43282</v>
      </c>
      <c r="D253" s="17">
        <v>1002</v>
      </c>
      <c r="E253" t="s">
        <v>146</v>
      </c>
      <c r="F253" t="s">
        <v>147</v>
      </c>
      <c r="G253" t="s">
        <v>148</v>
      </c>
      <c r="H253" t="s">
        <v>127</v>
      </c>
      <c r="I253" t="s">
        <v>128</v>
      </c>
      <c r="J253" s="18">
        <v>28905.525000000001</v>
      </c>
      <c r="K253" t="s">
        <v>104</v>
      </c>
      <c r="L253" t="s">
        <v>150</v>
      </c>
      <c r="M253" t="s">
        <v>151</v>
      </c>
      <c r="N253" t="s">
        <v>152</v>
      </c>
      <c r="O253" t="s">
        <v>153</v>
      </c>
    </row>
    <row r="254" spans="1:15" x14ac:dyDescent="0.45">
      <c r="A254">
        <f t="shared" si="3"/>
        <v>253</v>
      </c>
      <c r="B254" s="14">
        <v>43301</v>
      </c>
      <c r="C254" s="14">
        <f>EOMONTH(tbl_GLSalesDetail[[#This Row],[Date]],-1)+1</f>
        <v>43282</v>
      </c>
      <c r="D254" s="17">
        <v>1002</v>
      </c>
      <c r="E254" t="s">
        <v>116</v>
      </c>
      <c r="F254" t="s">
        <v>117</v>
      </c>
      <c r="G254" t="s">
        <v>118</v>
      </c>
      <c r="H254" t="s">
        <v>119</v>
      </c>
      <c r="I254" t="s">
        <v>133</v>
      </c>
      <c r="J254" s="18">
        <v>10233.575000000001</v>
      </c>
      <c r="K254" t="s">
        <v>104</v>
      </c>
      <c r="L254" t="s">
        <v>121</v>
      </c>
      <c r="M254" t="s">
        <v>122</v>
      </c>
      <c r="N254" t="s">
        <v>123</v>
      </c>
      <c r="O254" t="s">
        <v>124</v>
      </c>
    </row>
    <row r="255" spans="1:15" x14ac:dyDescent="0.45">
      <c r="A255">
        <f t="shared" si="3"/>
        <v>254</v>
      </c>
      <c r="B255" s="14">
        <v>43301</v>
      </c>
      <c r="C255" s="14">
        <f>EOMONTH(tbl_GLSalesDetail[[#This Row],[Date]],-1)+1</f>
        <v>43282</v>
      </c>
      <c r="D255" s="17">
        <v>1002</v>
      </c>
      <c r="E255" t="s">
        <v>125</v>
      </c>
      <c r="F255" t="s">
        <v>93</v>
      </c>
      <c r="G255" t="s">
        <v>126</v>
      </c>
      <c r="H255" t="s">
        <v>119</v>
      </c>
      <c r="I255" t="s">
        <v>133</v>
      </c>
      <c r="J255" s="18">
        <v>28251.025000000001</v>
      </c>
      <c r="K255" t="s">
        <v>104</v>
      </c>
      <c r="L255" t="s">
        <v>129</v>
      </c>
      <c r="M255" t="s">
        <v>130</v>
      </c>
      <c r="N255" t="s">
        <v>131</v>
      </c>
      <c r="O255" t="s">
        <v>132</v>
      </c>
    </row>
    <row r="256" spans="1:15" x14ac:dyDescent="0.45">
      <c r="A256">
        <f t="shared" si="3"/>
        <v>255</v>
      </c>
      <c r="B256" s="14">
        <v>43303</v>
      </c>
      <c r="C256" s="14">
        <f>EOMONTH(tbl_GLSalesDetail[[#This Row],[Date]],-1)+1</f>
        <v>43282</v>
      </c>
      <c r="D256" s="17">
        <v>1001</v>
      </c>
      <c r="E256" t="s">
        <v>146</v>
      </c>
      <c r="F256" t="s">
        <v>147</v>
      </c>
      <c r="G256" t="s">
        <v>148</v>
      </c>
      <c r="H256" t="s">
        <v>102</v>
      </c>
      <c r="I256" t="s">
        <v>144</v>
      </c>
      <c r="J256" s="18">
        <v>30826.95</v>
      </c>
      <c r="K256" t="s">
        <v>145</v>
      </c>
      <c r="L256" t="s">
        <v>150</v>
      </c>
      <c r="M256" t="s">
        <v>151</v>
      </c>
      <c r="N256" t="s">
        <v>152</v>
      </c>
      <c r="O256" t="s">
        <v>153</v>
      </c>
    </row>
    <row r="257" spans="1:15" x14ac:dyDescent="0.45">
      <c r="A257">
        <f t="shared" si="3"/>
        <v>256</v>
      </c>
      <c r="B257" s="14">
        <v>43303</v>
      </c>
      <c r="C257" s="14">
        <f>EOMONTH(tbl_GLSalesDetail[[#This Row],[Date]],-1)+1</f>
        <v>43282</v>
      </c>
      <c r="D257" s="17">
        <v>1002</v>
      </c>
      <c r="E257" t="s">
        <v>146</v>
      </c>
      <c r="F257" t="s">
        <v>147</v>
      </c>
      <c r="G257" t="s">
        <v>180</v>
      </c>
      <c r="H257" t="s">
        <v>169</v>
      </c>
      <c r="I257" t="s">
        <v>186</v>
      </c>
      <c r="J257" s="18">
        <v>25193.575000000001</v>
      </c>
      <c r="K257" t="s">
        <v>104</v>
      </c>
      <c r="L257" t="s">
        <v>181</v>
      </c>
      <c r="M257" t="s">
        <v>182</v>
      </c>
      <c r="N257" t="s">
        <v>183</v>
      </c>
      <c r="O257" t="s">
        <v>184</v>
      </c>
    </row>
    <row r="258" spans="1:15" x14ac:dyDescent="0.45">
      <c r="A258">
        <f t="shared" ref="A258:A321" si="4">ROW()-1</f>
        <v>257</v>
      </c>
      <c r="B258" s="14">
        <v>43303</v>
      </c>
      <c r="C258" s="14">
        <f>EOMONTH(tbl_GLSalesDetail[[#This Row],[Date]],-1)+1</f>
        <v>43282</v>
      </c>
      <c r="D258" s="17">
        <v>1002</v>
      </c>
      <c r="E258" t="s">
        <v>125</v>
      </c>
      <c r="F258" t="s">
        <v>93</v>
      </c>
      <c r="G258" t="s">
        <v>126</v>
      </c>
      <c r="H258" t="s">
        <v>95</v>
      </c>
      <c r="I258" t="s">
        <v>96</v>
      </c>
      <c r="J258" s="18">
        <v>44440.55</v>
      </c>
      <c r="K258" t="s">
        <v>104</v>
      </c>
      <c r="L258" t="s">
        <v>129</v>
      </c>
      <c r="M258" t="s">
        <v>130</v>
      </c>
      <c r="N258" t="s">
        <v>131</v>
      </c>
      <c r="O258" t="s">
        <v>132</v>
      </c>
    </row>
    <row r="259" spans="1:15" x14ac:dyDescent="0.45">
      <c r="A259">
        <f t="shared" si="4"/>
        <v>258</v>
      </c>
      <c r="B259" s="14">
        <v>43303</v>
      </c>
      <c r="C259" s="14">
        <f>EOMONTH(tbl_GLSalesDetail[[#This Row],[Date]],-1)+1</f>
        <v>43282</v>
      </c>
      <c r="D259" s="17">
        <v>1002</v>
      </c>
      <c r="E259" t="s">
        <v>146</v>
      </c>
      <c r="F259" t="s">
        <v>147</v>
      </c>
      <c r="G259" t="s">
        <v>171</v>
      </c>
      <c r="H259" t="s">
        <v>102</v>
      </c>
      <c r="I259" t="s">
        <v>144</v>
      </c>
      <c r="J259" s="18">
        <v>13132.075000000001</v>
      </c>
      <c r="K259" t="s">
        <v>104</v>
      </c>
      <c r="L259" t="s">
        <v>172</v>
      </c>
      <c r="M259" t="s">
        <v>173</v>
      </c>
      <c r="N259" t="s">
        <v>174</v>
      </c>
      <c r="O259" t="s">
        <v>175</v>
      </c>
    </row>
    <row r="260" spans="1:15" x14ac:dyDescent="0.45">
      <c r="A260">
        <f t="shared" si="4"/>
        <v>259</v>
      </c>
      <c r="B260" s="14">
        <v>43303</v>
      </c>
      <c r="C260" s="14">
        <f>EOMONTH(tbl_GLSalesDetail[[#This Row],[Date]],-1)+1</f>
        <v>43282</v>
      </c>
      <c r="D260" s="17">
        <v>1002</v>
      </c>
      <c r="E260" t="s">
        <v>125</v>
      </c>
      <c r="F260" t="s">
        <v>93</v>
      </c>
      <c r="G260" t="s">
        <v>126</v>
      </c>
      <c r="H260" t="s">
        <v>95</v>
      </c>
      <c r="I260" t="s">
        <v>96</v>
      </c>
      <c r="J260" s="18">
        <v>14399</v>
      </c>
      <c r="K260" t="s">
        <v>104</v>
      </c>
      <c r="L260" t="s">
        <v>129</v>
      </c>
      <c r="M260" t="s">
        <v>130</v>
      </c>
      <c r="N260" t="s">
        <v>131</v>
      </c>
      <c r="O260" t="s">
        <v>132</v>
      </c>
    </row>
    <row r="261" spans="1:15" x14ac:dyDescent="0.45">
      <c r="A261">
        <f t="shared" si="4"/>
        <v>260</v>
      </c>
      <c r="B261" s="14">
        <v>43304</v>
      </c>
      <c r="C261" s="14">
        <f>EOMONTH(tbl_GLSalesDetail[[#This Row],[Date]],-1)+1</f>
        <v>43282</v>
      </c>
      <c r="D261" s="17">
        <v>1002</v>
      </c>
      <c r="E261" t="s">
        <v>92</v>
      </c>
      <c r="F261" t="s">
        <v>93</v>
      </c>
      <c r="G261" t="s">
        <v>94</v>
      </c>
      <c r="H261" t="s">
        <v>142</v>
      </c>
      <c r="I261" t="s">
        <v>149</v>
      </c>
      <c r="J261" s="18">
        <v>26974.75</v>
      </c>
      <c r="K261" t="s">
        <v>104</v>
      </c>
      <c r="L261" t="s">
        <v>98</v>
      </c>
      <c r="M261" t="s">
        <v>99</v>
      </c>
      <c r="N261" t="s">
        <v>100</v>
      </c>
      <c r="O261" t="s">
        <v>101</v>
      </c>
    </row>
    <row r="262" spans="1:15" x14ac:dyDescent="0.45">
      <c r="A262">
        <f t="shared" si="4"/>
        <v>261</v>
      </c>
      <c r="B262" s="14">
        <v>43311</v>
      </c>
      <c r="C262" s="14">
        <f>EOMONTH(tbl_GLSalesDetail[[#This Row],[Date]],-1)+1</f>
        <v>43282</v>
      </c>
      <c r="D262" s="17">
        <v>1001</v>
      </c>
      <c r="E262" t="s">
        <v>116</v>
      </c>
      <c r="F262" t="s">
        <v>117</v>
      </c>
      <c r="G262" t="s">
        <v>118</v>
      </c>
      <c r="H262" t="s">
        <v>142</v>
      </c>
      <c r="I262" t="s">
        <v>143</v>
      </c>
      <c r="J262" s="18">
        <v>11935.275000000001</v>
      </c>
      <c r="K262" t="s">
        <v>145</v>
      </c>
      <c r="L262" t="s">
        <v>121</v>
      </c>
      <c r="M262" t="s">
        <v>122</v>
      </c>
      <c r="N262" t="s">
        <v>123</v>
      </c>
      <c r="O262" t="s">
        <v>124</v>
      </c>
    </row>
    <row r="263" spans="1:15" x14ac:dyDescent="0.45">
      <c r="A263">
        <f t="shared" si="4"/>
        <v>262</v>
      </c>
      <c r="B263" s="14">
        <v>43311</v>
      </c>
      <c r="C263" s="14">
        <f>EOMONTH(tbl_GLSalesDetail[[#This Row],[Date]],-1)+1</f>
        <v>43282</v>
      </c>
      <c r="D263" s="17">
        <v>1002</v>
      </c>
      <c r="E263" t="s">
        <v>136</v>
      </c>
      <c r="F263" t="s">
        <v>106</v>
      </c>
      <c r="G263" t="s">
        <v>137</v>
      </c>
      <c r="H263" t="s">
        <v>119</v>
      </c>
      <c r="I263" t="s">
        <v>120</v>
      </c>
      <c r="J263" s="18">
        <v>15413.475</v>
      </c>
      <c r="K263" t="s">
        <v>104</v>
      </c>
      <c r="L263" t="s">
        <v>138</v>
      </c>
      <c r="M263" t="s">
        <v>139</v>
      </c>
      <c r="N263" t="s">
        <v>140</v>
      </c>
      <c r="O263" t="s">
        <v>141</v>
      </c>
    </row>
    <row r="264" spans="1:15" x14ac:dyDescent="0.45">
      <c r="A264">
        <f t="shared" si="4"/>
        <v>263</v>
      </c>
      <c r="B264" s="14">
        <v>43317</v>
      </c>
      <c r="C264" s="14">
        <f>EOMONTH(tbl_GLSalesDetail[[#This Row],[Date]],-1)+1</f>
        <v>43313</v>
      </c>
      <c r="D264" s="17">
        <v>1002</v>
      </c>
      <c r="E264" t="s">
        <v>155</v>
      </c>
      <c r="F264" t="s">
        <v>117</v>
      </c>
      <c r="G264" t="s">
        <v>156</v>
      </c>
      <c r="H264" t="s">
        <v>108</v>
      </c>
      <c r="I264" t="s">
        <v>109</v>
      </c>
      <c r="J264" s="18">
        <v>39083</v>
      </c>
      <c r="K264" t="s">
        <v>104</v>
      </c>
      <c r="L264" t="s">
        <v>158</v>
      </c>
      <c r="M264" t="s">
        <v>159</v>
      </c>
      <c r="N264" t="s">
        <v>140</v>
      </c>
      <c r="O264" t="s">
        <v>141</v>
      </c>
    </row>
    <row r="265" spans="1:15" x14ac:dyDescent="0.45">
      <c r="A265">
        <f t="shared" si="4"/>
        <v>264</v>
      </c>
      <c r="B265" s="14">
        <v>43318</v>
      </c>
      <c r="C265" s="14">
        <f>EOMONTH(tbl_GLSalesDetail[[#This Row],[Date]],-1)+1</f>
        <v>43313</v>
      </c>
      <c r="D265" s="17">
        <v>1001</v>
      </c>
      <c r="E265" t="s">
        <v>146</v>
      </c>
      <c r="F265" t="s">
        <v>147</v>
      </c>
      <c r="G265" t="s">
        <v>148</v>
      </c>
      <c r="H265" t="s">
        <v>142</v>
      </c>
      <c r="I265" t="s">
        <v>149</v>
      </c>
      <c r="J265" s="18">
        <v>30850.325000000001</v>
      </c>
      <c r="K265" t="s">
        <v>145</v>
      </c>
      <c r="L265" t="s">
        <v>150</v>
      </c>
      <c r="M265" t="s">
        <v>151</v>
      </c>
      <c r="N265" t="s">
        <v>152</v>
      </c>
      <c r="O265" t="s">
        <v>153</v>
      </c>
    </row>
    <row r="266" spans="1:15" x14ac:dyDescent="0.45">
      <c r="A266">
        <f t="shared" si="4"/>
        <v>265</v>
      </c>
      <c r="B266" s="14">
        <v>43318</v>
      </c>
      <c r="C266" s="14">
        <f>EOMONTH(tbl_GLSalesDetail[[#This Row],[Date]],-1)+1</f>
        <v>43313</v>
      </c>
      <c r="D266" s="17">
        <v>1001</v>
      </c>
      <c r="E266" t="s">
        <v>136</v>
      </c>
      <c r="F266" t="s">
        <v>106</v>
      </c>
      <c r="G266" t="s">
        <v>137</v>
      </c>
      <c r="H266" t="s">
        <v>169</v>
      </c>
      <c r="I266" t="s">
        <v>170</v>
      </c>
      <c r="J266" s="18">
        <v>11640.75</v>
      </c>
      <c r="K266" t="s">
        <v>97</v>
      </c>
      <c r="L266" t="s">
        <v>138</v>
      </c>
      <c r="M266" t="s">
        <v>139</v>
      </c>
      <c r="N266" t="s">
        <v>140</v>
      </c>
      <c r="O266" t="s">
        <v>141</v>
      </c>
    </row>
    <row r="267" spans="1:15" x14ac:dyDescent="0.45">
      <c r="A267">
        <f t="shared" si="4"/>
        <v>266</v>
      </c>
      <c r="B267" s="14">
        <v>43318</v>
      </c>
      <c r="C267" s="14">
        <f>EOMONTH(tbl_GLSalesDetail[[#This Row],[Date]],-1)+1</f>
        <v>43313</v>
      </c>
      <c r="D267" s="17">
        <v>1002</v>
      </c>
      <c r="E267" t="s">
        <v>146</v>
      </c>
      <c r="F267" t="s">
        <v>147</v>
      </c>
      <c r="G267" t="s">
        <v>171</v>
      </c>
      <c r="H267" t="s">
        <v>102</v>
      </c>
      <c r="I267" t="s">
        <v>160</v>
      </c>
      <c r="J267" s="18">
        <v>40854.825000000004</v>
      </c>
      <c r="K267" t="s">
        <v>104</v>
      </c>
      <c r="L267" t="s">
        <v>172</v>
      </c>
      <c r="M267" t="s">
        <v>173</v>
      </c>
      <c r="N267" t="s">
        <v>174</v>
      </c>
      <c r="O267" t="s">
        <v>175</v>
      </c>
    </row>
    <row r="268" spans="1:15" x14ac:dyDescent="0.45">
      <c r="A268">
        <f t="shared" si="4"/>
        <v>267</v>
      </c>
      <c r="B268" s="14">
        <v>43319</v>
      </c>
      <c r="C268" s="14">
        <f>EOMONTH(tbl_GLSalesDetail[[#This Row],[Date]],-1)+1</f>
        <v>43313</v>
      </c>
      <c r="D268" s="17">
        <v>1001</v>
      </c>
      <c r="E268" t="s">
        <v>92</v>
      </c>
      <c r="F268" t="s">
        <v>93</v>
      </c>
      <c r="G268" t="s">
        <v>94</v>
      </c>
      <c r="H268" t="s">
        <v>163</v>
      </c>
      <c r="I268" t="s">
        <v>185</v>
      </c>
      <c r="J268" s="18">
        <v>31654.425000000003</v>
      </c>
      <c r="K268" t="s">
        <v>97</v>
      </c>
      <c r="L268" t="s">
        <v>98</v>
      </c>
      <c r="M268" t="s">
        <v>99</v>
      </c>
      <c r="N268" t="s">
        <v>100</v>
      </c>
      <c r="O268" t="s">
        <v>101</v>
      </c>
    </row>
    <row r="269" spans="1:15" x14ac:dyDescent="0.45">
      <c r="A269">
        <f t="shared" si="4"/>
        <v>268</v>
      </c>
      <c r="B269" s="14">
        <v>43319</v>
      </c>
      <c r="C269" s="14">
        <f>EOMONTH(tbl_GLSalesDetail[[#This Row],[Date]],-1)+1</f>
        <v>43313</v>
      </c>
      <c r="D269" s="17">
        <v>1001</v>
      </c>
      <c r="E269" t="s">
        <v>92</v>
      </c>
      <c r="F269" t="s">
        <v>93</v>
      </c>
      <c r="G269" t="s">
        <v>94</v>
      </c>
      <c r="H269" t="s">
        <v>169</v>
      </c>
      <c r="I269" t="s">
        <v>186</v>
      </c>
      <c r="J269" s="18">
        <v>4955.5</v>
      </c>
      <c r="K269" t="s">
        <v>97</v>
      </c>
      <c r="L269" t="s">
        <v>98</v>
      </c>
      <c r="M269" t="s">
        <v>99</v>
      </c>
      <c r="N269" t="s">
        <v>100</v>
      </c>
      <c r="O269" t="s">
        <v>101</v>
      </c>
    </row>
    <row r="270" spans="1:15" x14ac:dyDescent="0.45">
      <c r="A270">
        <f t="shared" si="4"/>
        <v>269</v>
      </c>
      <c r="B270" s="14">
        <v>43321</v>
      </c>
      <c r="C270" s="14">
        <f>EOMONTH(tbl_GLSalesDetail[[#This Row],[Date]],-1)+1</f>
        <v>43313</v>
      </c>
      <c r="D270" s="17">
        <v>1001</v>
      </c>
      <c r="E270" t="s">
        <v>136</v>
      </c>
      <c r="F270" t="s">
        <v>106</v>
      </c>
      <c r="G270" t="s">
        <v>137</v>
      </c>
      <c r="H270" t="s">
        <v>127</v>
      </c>
      <c r="I270" t="s">
        <v>128</v>
      </c>
      <c r="J270" s="18">
        <v>43846.825000000004</v>
      </c>
      <c r="K270" t="s">
        <v>145</v>
      </c>
      <c r="L270" t="s">
        <v>138</v>
      </c>
      <c r="M270" t="s">
        <v>139</v>
      </c>
      <c r="N270" t="s">
        <v>140</v>
      </c>
      <c r="O270" t="s">
        <v>141</v>
      </c>
    </row>
    <row r="271" spans="1:15" x14ac:dyDescent="0.45">
      <c r="A271">
        <f t="shared" si="4"/>
        <v>270</v>
      </c>
      <c r="B271" s="14">
        <v>43321</v>
      </c>
      <c r="C271" s="14">
        <f>EOMONTH(tbl_GLSalesDetail[[#This Row],[Date]],-1)+1</f>
        <v>43313</v>
      </c>
      <c r="D271" s="17">
        <v>1001</v>
      </c>
      <c r="E271" t="s">
        <v>116</v>
      </c>
      <c r="F271" t="s">
        <v>117</v>
      </c>
      <c r="G271" t="s">
        <v>118</v>
      </c>
      <c r="H271" t="s">
        <v>176</v>
      </c>
      <c r="I271" t="s">
        <v>177</v>
      </c>
      <c r="J271" s="18">
        <v>40462.125</v>
      </c>
      <c r="K271" t="s">
        <v>97</v>
      </c>
      <c r="L271" t="s">
        <v>121</v>
      </c>
      <c r="M271" t="s">
        <v>122</v>
      </c>
      <c r="N271" t="s">
        <v>123</v>
      </c>
      <c r="O271" t="s">
        <v>124</v>
      </c>
    </row>
    <row r="272" spans="1:15" x14ac:dyDescent="0.45">
      <c r="A272">
        <f t="shared" si="4"/>
        <v>271</v>
      </c>
      <c r="B272" s="14">
        <v>43321</v>
      </c>
      <c r="C272" s="14">
        <f>EOMONTH(tbl_GLSalesDetail[[#This Row],[Date]],-1)+1</f>
        <v>43313</v>
      </c>
      <c r="D272" s="17">
        <v>1001</v>
      </c>
      <c r="E272" t="s">
        <v>155</v>
      </c>
      <c r="F272" t="s">
        <v>117</v>
      </c>
      <c r="G272" t="s">
        <v>156</v>
      </c>
      <c r="H272" t="s">
        <v>119</v>
      </c>
      <c r="I272" t="s">
        <v>120</v>
      </c>
      <c r="J272" s="18">
        <v>14815.075000000001</v>
      </c>
      <c r="K272" t="s">
        <v>97</v>
      </c>
      <c r="L272" t="s">
        <v>158</v>
      </c>
      <c r="M272" t="s">
        <v>159</v>
      </c>
      <c r="N272" t="s">
        <v>140</v>
      </c>
      <c r="O272" t="s">
        <v>141</v>
      </c>
    </row>
    <row r="273" spans="1:15" x14ac:dyDescent="0.45">
      <c r="A273">
        <f t="shared" si="4"/>
        <v>272</v>
      </c>
      <c r="B273" s="14">
        <v>43322</v>
      </c>
      <c r="C273" s="14">
        <f>EOMONTH(tbl_GLSalesDetail[[#This Row],[Date]],-1)+1</f>
        <v>43313</v>
      </c>
      <c r="D273" s="17">
        <v>1001</v>
      </c>
      <c r="E273" t="s">
        <v>146</v>
      </c>
      <c r="F273" t="s">
        <v>147</v>
      </c>
      <c r="G273" t="s">
        <v>180</v>
      </c>
      <c r="H273" t="s">
        <v>134</v>
      </c>
      <c r="I273" t="s">
        <v>135</v>
      </c>
      <c r="J273" s="18">
        <v>15422.825000000001</v>
      </c>
      <c r="K273" t="s">
        <v>97</v>
      </c>
      <c r="L273" t="s">
        <v>181</v>
      </c>
      <c r="M273" t="s">
        <v>182</v>
      </c>
      <c r="N273" t="s">
        <v>183</v>
      </c>
      <c r="O273" t="s">
        <v>184</v>
      </c>
    </row>
    <row r="274" spans="1:15" x14ac:dyDescent="0.45">
      <c r="A274">
        <f t="shared" si="4"/>
        <v>273</v>
      </c>
      <c r="B274" s="14">
        <v>43322</v>
      </c>
      <c r="C274" s="14">
        <f>EOMONTH(tbl_GLSalesDetail[[#This Row],[Date]],-1)+1</f>
        <v>43313</v>
      </c>
      <c r="D274" s="17">
        <v>1002</v>
      </c>
      <c r="E274" t="s">
        <v>125</v>
      </c>
      <c r="F274" t="s">
        <v>93</v>
      </c>
      <c r="G274" t="s">
        <v>126</v>
      </c>
      <c r="H274" t="s">
        <v>192</v>
      </c>
      <c r="I274" t="s">
        <v>193</v>
      </c>
      <c r="J274" s="18">
        <v>33973.224999999999</v>
      </c>
      <c r="K274" t="s">
        <v>104</v>
      </c>
      <c r="L274" t="s">
        <v>129</v>
      </c>
      <c r="M274" t="s">
        <v>130</v>
      </c>
      <c r="N274" t="s">
        <v>131</v>
      </c>
      <c r="O274" t="s">
        <v>132</v>
      </c>
    </row>
    <row r="275" spans="1:15" x14ac:dyDescent="0.45">
      <c r="A275">
        <f t="shared" si="4"/>
        <v>274</v>
      </c>
      <c r="B275" s="14">
        <v>43322</v>
      </c>
      <c r="C275" s="14">
        <f>EOMONTH(tbl_GLSalesDetail[[#This Row],[Date]],-1)+1</f>
        <v>43313</v>
      </c>
      <c r="D275" s="17">
        <v>1002</v>
      </c>
      <c r="E275" t="s">
        <v>146</v>
      </c>
      <c r="F275" t="s">
        <v>147</v>
      </c>
      <c r="G275" t="s">
        <v>148</v>
      </c>
      <c r="H275" t="s">
        <v>119</v>
      </c>
      <c r="I275" t="s">
        <v>133</v>
      </c>
      <c r="J275" s="18">
        <v>40214.350000000006</v>
      </c>
      <c r="K275" t="s">
        <v>104</v>
      </c>
      <c r="L275" t="s">
        <v>150</v>
      </c>
      <c r="M275" t="s">
        <v>151</v>
      </c>
      <c r="N275" t="s">
        <v>152</v>
      </c>
      <c r="O275" t="s">
        <v>153</v>
      </c>
    </row>
    <row r="276" spans="1:15" x14ac:dyDescent="0.45">
      <c r="A276">
        <f t="shared" si="4"/>
        <v>275</v>
      </c>
      <c r="B276" s="14">
        <v>43323</v>
      </c>
      <c r="C276" s="14">
        <f>EOMONTH(tbl_GLSalesDetail[[#This Row],[Date]],-1)+1</f>
        <v>43313</v>
      </c>
      <c r="D276" s="17">
        <v>1001</v>
      </c>
      <c r="E276" t="s">
        <v>116</v>
      </c>
      <c r="F276" t="s">
        <v>117</v>
      </c>
      <c r="G276" t="s">
        <v>118</v>
      </c>
      <c r="H276" t="s">
        <v>134</v>
      </c>
      <c r="I276" t="s">
        <v>135</v>
      </c>
      <c r="J276" s="18">
        <v>32397.750000000004</v>
      </c>
      <c r="K276" t="s">
        <v>97</v>
      </c>
      <c r="L276" t="s">
        <v>121</v>
      </c>
      <c r="M276" t="s">
        <v>122</v>
      </c>
      <c r="N276" t="s">
        <v>123</v>
      </c>
      <c r="O276" t="s">
        <v>124</v>
      </c>
    </row>
    <row r="277" spans="1:15" x14ac:dyDescent="0.45">
      <c r="A277">
        <f t="shared" si="4"/>
        <v>276</v>
      </c>
      <c r="B277" s="14">
        <v>43324</v>
      </c>
      <c r="C277" s="14">
        <f>EOMONTH(tbl_GLSalesDetail[[#This Row],[Date]],-1)+1</f>
        <v>43313</v>
      </c>
      <c r="D277" s="17">
        <v>1001</v>
      </c>
      <c r="E277" t="s">
        <v>125</v>
      </c>
      <c r="F277" t="s">
        <v>93</v>
      </c>
      <c r="G277" t="s">
        <v>126</v>
      </c>
      <c r="H277" t="s">
        <v>169</v>
      </c>
      <c r="I277" t="s">
        <v>170</v>
      </c>
      <c r="J277" s="18">
        <v>3655.8500000000004</v>
      </c>
      <c r="K277" t="s">
        <v>97</v>
      </c>
      <c r="L277" t="s">
        <v>129</v>
      </c>
      <c r="M277" t="s">
        <v>130</v>
      </c>
      <c r="N277" t="s">
        <v>131</v>
      </c>
      <c r="O277" t="s">
        <v>132</v>
      </c>
    </row>
    <row r="278" spans="1:15" x14ac:dyDescent="0.45">
      <c r="A278">
        <f t="shared" si="4"/>
        <v>277</v>
      </c>
      <c r="B278" s="14">
        <v>43327</v>
      </c>
      <c r="C278" s="14">
        <f>EOMONTH(tbl_GLSalesDetail[[#This Row],[Date]],-1)+1</f>
        <v>43313</v>
      </c>
      <c r="D278" s="17">
        <v>1001</v>
      </c>
      <c r="E278" t="s">
        <v>125</v>
      </c>
      <c r="F278" t="s">
        <v>93</v>
      </c>
      <c r="G278" t="s">
        <v>126</v>
      </c>
      <c r="H278" t="s">
        <v>102</v>
      </c>
      <c r="I278" t="s">
        <v>144</v>
      </c>
      <c r="J278" s="18">
        <v>6442.1500000000005</v>
      </c>
      <c r="K278" t="s">
        <v>97</v>
      </c>
      <c r="L278" t="s">
        <v>129</v>
      </c>
      <c r="M278" t="s">
        <v>130</v>
      </c>
      <c r="N278" t="s">
        <v>131</v>
      </c>
      <c r="O278" t="s">
        <v>132</v>
      </c>
    </row>
    <row r="279" spans="1:15" x14ac:dyDescent="0.45">
      <c r="A279">
        <f t="shared" si="4"/>
        <v>278</v>
      </c>
      <c r="B279" s="14">
        <v>43329</v>
      </c>
      <c r="C279" s="14">
        <f>EOMONTH(tbl_GLSalesDetail[[#This Row],[Date]],-1)+1</f>
        <v>43313</v>
      </c>
      <c r="D279" s="17">
        <v>1001</v>
      </c>
      <c r="E279" t="s">
        <v>92</v>
      </c>
      <c r="F279" t="s">
        <v>93</v>
      </c>
      <c r="G279" t="s">
        <v>94</v>
      </c>
      <c r="H279" t="s">
        <v>102</v>
      </c>
      <c r="I279" t="s">
        <v>144</v>
      </c>
      <c r="J279" s="18">
        <v>13038.575000000001</v>
      </c>
      <c r="K279" t="s">
        <v>97</v>
      </c>
      <c r="L279" t="s">
        <v>98</v>
      </c>
      <c r="M279" t="s">
        <v>99</v>
      </c>
      <c r="N279" t="s">
        <v>100</v>
      </c>
      <c r="O279" t="s">
        <v>101</v>
      </c>
    </row>
    <row r="280" spans="1:15" x14ac:dyDescent="0.45">
      <c r="A280">
        <f t="shared" si="4"/>
        <v>279</v>
      </c>
      <c r="B280" s="14">
        <v>43334</v>
      </c>
      <c r="C280" s="14">
        <f>EOMONTH(tbl_GLSalesDetail[[#This Row],[Date]],-1)+1</f>
        <v>43313</v>
      </c>
      <c r="D280" s="17">
        <v>1001</v>
      </c>
      <c r="E280" t="s">
        <v>155</v>
      </c>
      <c r="F280" t="s">
        <v>117</v>
      </c>
      <c r="G280" t="s">
        <v>156</v>
      </c>
      <c r="H280" t="s">
        <v>192</v>
      </c>
      <c r="I280" t="s">
        <v>193</v>
      </c>
      <c r="J280" s="18">
        <v>34637.075000000004</v>
      </c>
      <c r="K280" t="s">
        <v>145</v>
      </c>
      <c r="L280" t="s">
        <v>158</v>
      </c>
      <c r="M280" t="s">
        <v>159</v>
      </c>
      <c r="N280" t="s">
        <v>140</v>
      </c>
      <c r="O280" t="s">
        <v>141</v>
      </c>
    </row>
    <row r="281" spans="1:15" x14ac:dyDescent="0.45">
      <c r="A281">
        <f t="shared" si="4"/>
        <v>280</v>
      </c>
      <c r="B281" s="14">
        <v>43334</v>
      </c>
      <c r="C281" s="14">
        <f>EOMONTH(tbl_GLSalesDetail[[#This Row],[Date]],-1)+1</f>
        <v>43313</v>
      </c>
      <c r="D281" s="17">
        <v>1001</v>
      </c>
      <c r="E281" t="s">
        <v>116</v>
      </c>
      <c r="F281" t="s">
        <v>117</v>
      </c>
      <c r="G281" t="s">
        <v>118</v>
      </c>
      <c r="H281" t="s">
        <v>192</v>
      </c>
      <c r="I281" t="s">
        <v>193</v>
      </c>
      <c r="J281" s="18">
        <v>31004.600000000002</v>
      </c>
      <c r="K281" t="s">
        <v>145</v>
      </c>
      <c r="L281" t="s">
        <v>121</v>
      </c>
      <c r="M281" t="s">
        <v>122</v>
      </c>
      <c r="N281" t="s">
        <v>123</v>
      </c>
      <c r="O281" t="s">
        <v>124</v>
      </c>
    </row>
    <row r="282" spans="1:15" x14ac:dyDescent="0.45">
      <c r="A282">
        <f t="shared" si="4"/>
        <v>281</v>
      </c>
      <c r="B282" s="14">
        <v>43335</v>
      </c>
      <c r="C282" s="14">
        <f>EOMONTH(tbl_GLSalesDetail[[#This Row],[Date]],-1)+1</f>
        <v>43313</v>
      </c>
      <c r="D282" s="17">
        <v>1001</v>
      </c>
      <c r="E282" t="s">
        <v>146</v>
      </c>
      <c r="F282" t="s">
        <v>147</v>
      </c>
      <c r="G282" t="s">
        <v>180</v>
      </c>
      <c r="H282" t="s">
        <v>95</v>
      </c>
      <c r="I282" t="s">
        <v>96</v>
      </c>
      <c r="J282" s="18">
        <v>1912.075</v>
      </c>
      <c r="K282" t="s">
        <v>145</v>
      </c>
      <c r="L282" t="s">
        <v>181</v>
      </c>
      <c r="M282" t="s">
        <v>182</v>
      </c>
      <c r="N282" t="s">
        <v>183</v>
      </c>
      <c r="O282" t="s">
        <v>184</v>
      </c>
    </row>
    <row r="283" spans="1:15" x14ac:dyDescent="0.45">
      <c r="A283">
        <f t="shared" si="4"/>
        <v>282</v>
      </c>
      <c r="B283" s="14">
        <v>43335</v>
      </c>
      <c r="C283" s="14">
        <f>EOMONTH(tbl_GLSalesDetail[[#This Row],[Date]],-1)+1</f>
        <v>43313</v>
      </c>
      <c r="D283" s="17">
        <v>1001</v>
      </c>
      <c r="E283" t="s">
        <v>136</v>
      </c>
      <c r="F283" t="s">
        <v>106</v>
      </c>
      <c r="G283" t="s">
        <v>162</v>
      </c>
      <c r="H283" t="s">
        <v>169</v>
      </c>
      <c r="I283" t="s">
        <v>186</v>
      </c>
      <c r="J283" s="18">
        <v>5268.7250000000004</v>
      </c>
      <c r="K283" t="s">
        <v>145</v>
      </c>
      <c r="L283" t="s">
        <v>165</v>
      </c>
      <c r="M283" t="s">
        <v>166</v>
      </c>
      <c r="N283" t="s">
        <v>167</v>
      </c>
      <c r="O283" t="s">
        <v>168</v>
      </c>
    </row>
    <row r="284" spans="1:15" x14ac:dyDescent="0.45">
      <c r="A284">
        <f t="shared" si="4"/>
        <v>283</v>
      </c>
      <c r="B284" s="14">
        <v>43335</v>
      </c>
      <c r="C284" s="14">
        <f>EOMONTH(tbl_GLSalesDetail[[#This Row],[Date]],-1)+1</f>
        <v>43313</v>
      </c>
      <c r="D284" s="17">
        <v>1001</v>
      </c>
      <c r="E284" t="s">
        <v>146</v>
      </c>
      <c r="F284" t="s">
        <v>147</v>
      </c>
      <c r="G284" t="s">
        <v>171</v>
      </c>
      <c r="H284" t="s">
        <v>119</v>
      </c>
      <c r="I284" t="s">
        <v>133</v>
      </c>
      <c r="J284" s="18">
        <v>42477.05</v>
      </c>
      <c r="K284" t="s">
        <v>97</v>
      </c>
      <c r="L284" t="s">
        <v>172</v>
      </c>
      <c r="M284" t="s">
        <v>173</v>
      </c>
      <c r="N284" t="s">
        <v>174</v>
      </c>
      <c r="O284" t="s">
        <v>175</v>
      </c>
    </row>
    <row r="285" spans="1:15" x14ac:dyDescent="0.45">
      <c r="A285">
        <f t="shared" si="4"/>
        <v>284</v>
      </c>
      <c r="B285" s="14">
        <v>43338</v>
      </c>
      <c r="C285" s="14">
        <f>EOMONTH(tbl_GLSalesDetail[[#This Row],[Date]],-1)+1</f>
        <v>43313</v>
      </c>
      <c r="D285" s="17">
        <v>1001</v>
      </c>
      <c r="E285" t="s">
        <v>105</v>
      </c>
      <c r="F285" t="s">
        <v>106</v>
      </c>
      <c r="G285" t="s">
        <v>107</v>
      </c>
      <c r="H285" t="s">
        <v>192</v>
      </c>
      <c r="I285" t="s">
        <v>193</v>
      </c>
      <c r="J285" s="18">
        <v>43496.200000000004</v>
      </c>
      <c r="K285" t="s">
        <v>97</v>
      </c>
      <c r="L285" t="s">
        <v>110</v>
      </c>
      <c r="M285" t="s">
        <v>111</v>
      </c>
      <c r="N285" t="s">
        <v>112</v>
      </c>
      <c r="O285" t="s">
        <v>113</v>
      </c>
    </row>
    <row r="286" spans="1:15" x14ac:dyDescent="0.45">
      <c r="A286">
        <f t="shared" si="4"/>
        <v>285</v>
      </c>
      <c r="B286" s="14">
        <v>43339</v>
      </c>
      <c r="C286" s="14">
        <f>EOMONTH(tbl_GLSalesDetail[[#This Row],[Date]],-1)+1</f>
        <v>43313</v>
      </c>
      <c r="D286" s="17">
        <v>1002</v>
      </c>
      <c r="E286" t="s">
        <v>105</v>
      </c>
      <c r="F286" t="s">
        <v>106</v>
      </c>
      <c r="G286" t="s">
        <v>107</v>
      </c>
      <c r="H286" t="s">
        <v>176</v>
      </c>
      <c r="I286" t="s">
        <v>177</v>
      </c>
      <c r="J286" s="18">
        <v>17905.25</v>
      </c>
      <c r="K286" t="s">
        <v>104</v>
      </c>
      <c r="L286" t="s">
        <v>110</v>
      </c>
      <c r="M286" t="s">
        <v>111</v>
      </c>
      <c r="N286" t="s">
        <v>112</v>
      </c>
      <c r="O286" t="s">
        <v>113</v>
      </c>
    </row>
    <row r="287" spans="1:15" x14ac:dyDescent="0.45">
      <c r="A287">
        <f t="shared" si="4"/>
        <v>286</v>
      </c>
      <c r="B287" s="14">
        <v>43339</v>
      </c>
      <c r="C287" s="14">
        <f>EOMONTH(tbl_GLSalesDetail[[#This Row],[Date]],-1)+1</f>
        <v>43313</v>
      </c>
      <c r="D287" s="17">
        <v>1002</v>
      </c>
      <c r="E287" t="s">
        <v>105</v>
      </c>
      <c r="F287" t="s">
        <v>106</v>
      </c>
      <c r="G287" t="s">
        <v>107</v>
      </c>
      <c r="H287" t="s">
        <v>142</v>
      </c>
      <c r="I287" t="s">
        <v>154</v>
      </c>
      <c r="J287" s="18">
        <v>822.80000000000007</v>
      </c>
      <c r="K287" t="s">
        <v>104</v>
      </c>
      <c r="L287" t="s">
        <v>110</v>
      </c>
      <c r="M287" t="s">
        <v>111</v>
      </c>
      <c r="N287" t="s">
        <v>112</v>
      </c>
      <c r="O287" t="s">
        <v>113</v>
      </c>
    </row>
    <row r="288" spans="1:15" x14ac:dyDescent="0.45">
      <c r="A288">
        <f t="shared" si="4"/>
        <v>287</v>
      </c>
      <c r="B288" s="14">
        <v>43344</v>
      </c>
      <c r="C288" s="14">
        <f>EOMONTH(tbl_GLSalesDetail[[#This Row],[Date]],-1)+1</f>
        <v>43344</v>
      </c>
      <c r="D288" s="17">
        <v>1002</v>
      </c>
      <c r="E288" t="s">
        <v>125</v>
      </c>
      <c r="F288" t="s">
        <v>93</v>
      </c>
      <c r="G288" t="s">
        <v>126</v>
      </c>
      <c r="H288" t="s">
        <v>142</v>
      </c>
      <c r="I288" t="s">
        <v>157</v>
      </c>
      <c r="J288" s="18">
        <v>45034.275000000001</v>
      </c>
      <c r="K288" t="s">
        <v>104</v>
      </c>
      <c r="L288" t="s">
        <v>129</v>
      </c>
      <c r="M288" t="s">
        <v>130</v>
      </c>
      <c r="N288" t="s">
        <v>131</v>
      </c>
      <c r="O288" t="s">
        <v>132</v>
      </c>
    </row>
    <row r="289" spans="1:15" x14ac:dyDescent="0.45">
      <c r="A289">
        <f t="shared" si="4"/>
        <v>288</v>
      </c>
      <c r="B289" s="14">
        <v>43345</v>
      </c>
      <c r="C289" s="14">
        <f>EOMONTH(tbl_GLSalesDetail[[#This Row],[Date]],-1)+1</f>
        <v>43344</v>
      </c>
      <c r="D289" s="17">
        <v>1001</v>
      </c>
      <c r="E289" t="s">
        <v>92</v>
      </c>
      <c r="F289" t="s">
        <v>93</v>
      </c>
      <c r="G289" t="s">
        <v>94</v>
      </c>
      <c r="H289" t="s">
        <v>127</v>
      </c>
      <c r="I289" t="s">
        <v>128</v>
      </c>
      <c r="J289" s="18">
        <v>28774.625</v>
      </c>
      <c r="K289" t="s">
        <v>97</v>
      </c>
      <c r="L289" t="s">
        <v>98</v>
      </c>
      <c r="M289" t="s">
        <v>99</v>
      </c>
      <c r="N289" t="s">
        <v>100</v>
      </c>
      <c r="O289" t="s">
        <v>101</v>
      </c>
    </row>
    <row r="290" spans="1:15" x14ac:dyDescent="0.45">
      <c r="A290">
        <f t="shared" si="4"/>
        <v>289</v>
      </c>
      <c r="B290" s="14">
        <v>43345</v>
      </c>
      <c r="C290" s="14">
        <f>EOMONTH(tbl_GLSalesDetail[[#This Row],[Date]],-1)+1</f>
        <v>43344</v>
      </c>
      <c r="D290" s="17">
        <v>1002</v>
      </c>
      <c r="E290" t="s">
        <v>125</v>
      </c>
      <c r="F290" t="s">
        <v>93</v>
      </c>
      <c r="G290" t="s">
        <v>126</v>
      </c>
      <c r="H290" t="s">
        <v>127</v>
      </c>
      <c r="I290" t="s">
        <v>128</v>
      </c>
      <c r="J290" s="18">
        <v>33557.15</v>
      </c>
      <c r="K290" t="s">
        <v>104</v>
      </c>
      <c r="L290" t="s">
        <v>129</v>
      </c>
      <c r="M290" t="s">
        <v>130</v>
      </c>
      <c r="N290" t="s">
        <v>131</v>
      </c>
      <c r="O290" t="s">
        <v>132</v>
      </c>
    </row>
    <row r="291" spans="1:15" x14ac:dyDescent="0.45">
      <c r="A291">
        <f t="shared" si="4"/>
        <v>290</v>
      </c>
      <c r="B291" s="14">
        <v>43345</v>
      </c>
      <c r="C291" s="14">
        <f>EOMONTH(tbl_GLSalesDetail[[#This Row],[Date]],-1)+1</f>
        <v>43344</v>
      </c>
      <c r="D291" s="17">
        <v>1002</v>
      </c>
      <c r="E291" t="s">
        <v>125</v>
      </c>
      <c r="F291" t="s">
        <v>93</v>
      </c>
      <c r="G291" t="s">
        <v>126</v>
      </c>
      <c r="H291" t="s">
        <v>205</v>
      </c>
      <c r="I291" t="s">
        <v>206</v>
      </c>
      <c r="J291" s="18">
        <v>40083.450000000004</v>
      </c>
      <c r="K291" t="s">
        <v>104</v>
      </c>
      <c r="L291" t="s">
        <v>129</v>
      </c>
      <c r="M291" t="s">
        <v>130</v>
      </c>
      <c r="N291" t="s">
        <v>131</v>
      </c>
      <c r="O291" t="s">
        <v>132</v>
      </c>
    </row>
    <row r="292" spans="1:15" x14ac:dyDescent="0.45">
      <c r="A292">
        <f t="shared" si="4"/>
        <v>291</v>
      </c>
      <c r="B292" s="14">
        <v>43349</v>
      </c>
      <c r="C292" s="14">
        <f>EOMONTH(tbl_GLSalesDetail[[#This Row],[Date]],-1)+1</f>
        <v>43344</v>
      </c>
      <c r="D292" s="17">
        <v>1001</v>
      </c>
      <c r="E292" t="s">
        <v>146</v>
      </c>
      <c r="F292" t="s">
        <v>147</v>
      </c>
      <c r="G292" t="s">
        <v>171</v>
      </c>
      <c r="H292" t="s">
        <v>114</v>
      </c>
      <c r="I292" t="s">
        <v>115</v>
      </c>
      <c r="J292" s="18">
        <v>3048.1000000000004</v>
      </c>
      <c r="K292" t="s">
        <v>97</v>
      </c>
      <c r="L292" t="s">
        <v>172</v>
      </c>
      <c r="M292" t="s">
        <v>173</v>
      </c>
      <c r="N292" t="s">
        <v>174</v>
      </c>
      <c r="O292" t="s">
        <v>175</v>
      </c>
    </row>
    <row r="293" spans="1:15" x14ac:dyDescent="0.45">
      <c r="A293">
        <f t="shared" si="4"/>
        <v>292</v>
      </c>
      <c r="B293" s="14">
        <v>43349</v>
      </c>
      <c r="C293" s="14">
        <f>EOMONTH(tbl_GLSalesDetail[[#This Row],[Date]],-1)+1</f>
        <v>43344</v>
      </c>
      <c r="D293" s="17">
        <v>1001</v>
      </c>
      <c r="E293" t="s">
        <v>146</v>
      </c>
      <c r="F293" t="s">
        <v>147</v>
      </c>
      <c r="G293" t="s">
        <v>171</v>
      </c>
      <c r="H293" t="s">
        <v>108</v>
      </c>
      <c r="I293" t="s">
        <v>109</v>
      </c>
      <c r="J293" s="18">
        <v>24090.275000000001</v>
      </c>
      <c r="K293" t="s">
        <v>97</v>
      </c>
      <c r="L293" t="s">
        <v>172</v>
      </c>
      <c r="M293" t="s">
        <v>173</v>
      </c>
      <c r="N293" t="s">
        <v>174</v>
      </c>
      <c r="O293" t="s">
        <v>175</v>
      </c>
    </row>
    <row r="294" spans="1:15" x14ac:dyDescent="0.45">
      <c r="A294">
        <f t="shared" si="4"/>
        <v>293</v>
      </c>
      <c r="B294" s="14">
        <v>43353</v>
      </c>
      <c r="C294" s="14">
        <f>EOMONTH(tbl_GLSalesDetail[[#This Row],[Date]],-1)+1</f>
        <v>43344</v>
      </c>
      <c r="D294" s="17">
        <v>1001</v>
      </c>
      <c r="E294" t="s">
        <v>146</v>
      </c>
      <c r="F294" t="s">
        <v>147</v>
      </c>
      <c r="G294" t="s">
        <v>180</v>
      </c>
      <c r="H294" t="s">
        <v>178</v>
      </c>
      <c r="I294" t="s">
        <v>179</v>
      </c>
      <c r="J294" s="18">
        <v>23454.475000000002</v>
      </c>
      <c r="K294" t="s">
        <v>97</v>
      </c>
      <c r="L294" t="s">
        <v>181</v>
      </c>
      <c r="M294" t="s">
        <v>182</v>
      </c>
      <c r="N294" t="s">
        <v>183</v>
      </c>
      <c r="O294" t="s">
        <v>184</v>
      </c>
    </row>
    <row r="295" spans="1:15" x14ac:dyDescent="0.45">
      <c r="A295">
        <f t="shared" si="4"/>
        <v>294</v>
      </c>
      <c r="B295" s="14">
        <v>43353</v>
      </c>
      <c r="C295" s="14">
        <f>EOMONTH(tbl_GLSalesDetail[[#This Row],[Date]],-1)+1</f>
        <v>43344</v>
      </c>
      <c r="D295" s="17">
        <v>1001</v>
      </c>
      <c r="E295" t="s">
        <v>125</v>
      </c>
      <c r="F295" t="s">
        <v>93</v>
      </c>
      <c r="G295" t="s">
        <v>126</v>
      </c>
      <c r="H295" t="s">
        <v>192</v>
      </c>
      <c r="I295" t="s">
        <v>193</v>
      </c>
      <c r="J295" s="18">
        <v>39929.175000000003</v>
      </c>
      <c r="K295" t="s">
        <v>97</v>
      </c>
      <c r="L295" t="s">
        <v>129</v>
      </c>
      <c r="M295" t="s">
        <v>130</v>
      </c>
      <c r="N295" t="s">
        <v>131</v>
      </c>
      <c r="O295" t="s">
        <v>132</v>
      </c>
    </row>
    <row r="296" spans="1:15" x14ac:dyDescent="0.45">
      <c r="A296">
        <f t="shared" si="4"/>
        <v>295</v>
      </c>
      <c r="B296" s="14">
        <v>43353</v>
      </c>
      <c r="C296" s="14">
        <f>EOMONTH(tbl_GLSalesDetail[[#This Row],[Date]],-1)+1</f>
        <v>43344</v>
      </c>
      <c r="D296" s="17">
        <v>1002</v>
      </c>
      <c r="E296" t="s">
        <v>92</v>
      </c>
      <c r="F296" t="s">
        <v>93</v>
      </c>
      <c r="G296" t="s">
        <v>94</v>
      </c>
      <c r="H296" t="s">
        <v>108</v>
      </c>
      <c r="I296" t="s">
        <v>109</v>
      </c>
      <c r="J296" s="18">
        <v>27834.95</v>
      </c>
      <c r="K296" t="s">
        <v>104</v>
      </c>
      <c r="L296" t="s">
        <v>98</v>
      </c>
      <c r="M296" t="s">
        <v>99</v>
      </c>
      <c r="N296" t="s">
        <v>100</v>
      </c>
      <c r="O296" t="s">
        <v>101</v>
      </c>
    </row>
    <row r="297" spans="1:15" x14ac:dyDescent="0.45">
      <c r="A297">
        <f t="shared" si="4"/>
        <v>296</v>
      </c>
      <c r="B297" s="14">
        <v>43355</v>
      </c>
      <c r="C297" s="14">
        <f>EOMONTH(tbl_GLSalesDetail[[#This Row],[Date]],-1)+1</f>
        <v>43344</v>
      </c>
      <c r="D297" s="17">
        <v>1001</v>
      </c>
      <c r="E297" t="s">
        <v>155</v>
      </c>
      <c r="F297" t="s">
        <v>117</v>
      </c>
      <c r="G297" t="s">
        <v>156</v>
      </c>
      <c r="H297" t="s">
        <v>119</v>
      </c>
      <c r="I297" t="s">
        <v>120</v>
      </c>
      <c r="J297" s="18">
        <v>31771.300000000003</v>
      </c>
      <c r="K297" t="s">
        <v>97</v>
      </c>
      <c r="L297" t="s">
        <v>158</v>
      </c>
      <c r="M297" t="s">
        <v>159</v>
      </c>
      <c r="N297" t="s">
        <v>140</v>
      </c>
      <c r="O297" t="s">
        <v>141</v>
      </c>
    </row>
    <row r="298" spans="1:15" x14ac:dyDescent="0.45">
      <c r="A298">
        <f t="shared" si="4"/>
        <v>297</v>
      </c>
      <c r="B298" s="14">
        <v>43356</v>
      </c>
      <c r="C298" s="14">
        <f>EOMONTH(tbl_GLSalesDetail[[#This Row],[Date]],-1)+1</f>
        <v>43344</v>
      </c>
      <c r="D298" s="17">
        <v>1002</v>
      </c>
      <c r="E298" t="s">
        <v>105</v>
      </c>
      <c r="F298" t="s">
        <v>106</v>
      </c>
      <c r="G298" t="s">
        <v>107</v>
      </c>
      <c r="H298" t="s">
        <v>178</v>
      </c>
      <c r="I298" t="s">
        <v>179</v>
      </c>
      <c r="J298" s="18">
        <v>32659.550000000003</v>
      </c>
      <c r="K298" t="s">
        <v>104</v>
      </c>
      <c r="L298" t="s">
        <v>110</v>
      </c>
      <c r="M298" t="s">
        <v>111</v>
      </c>
      <c r="N298" t="s">
        <v>112</v>
      </c>
      <c r="O298" t="s">
        <v>113</v>
      </c>
    </row>
    <row r="299" spans="1:15" x14ac:dyDescent="0.45">
      <c r="A299">
        <f t="shared" si="4"/>
        <v>298</v>
      </c>
      <c r="B299" s="14">
        <v>43356</v>
      </c>
      <c r="C299" s="14">
        <f>EOMONTH(tbl_GLSalesDetail[[#This Row],[Date]],-1)+1</f>
        <v>43344</v>
      </c>
      <c r="D299" s="17">
        <v>1002</v>
      </c>
      <c r="E299" t="s">
        <v>105</v>
      </c>
      <c r="F299" t="s">
        <v>106</v>
      </c>
      <c r="G299" t="s">
        <v>107</v>
      </c>
      <c r="H299" t="s">
        <v>178</v>
      </c>
      <c r="I299" t="s">
        <v>179</v>
      </c>
      <c r="J299" s="18">
        <v>22556.875</v>
      </c>
      <c r="K299" t="s">
        <v>104</v>
      </c>
      <c r="L299" t="s">
        <v>110</v>
      </c>
      <c r="M299" t="s">
        <v>111</v>
      </c>
      <c r="N299" t="s">
        <v>112</v>
      </c>
      <c r="O299" t="s">
        <v>113</v>
      </c>
    </row>
    <row r="300" spans="1:15" x14ac:dyDescent="0.45">
      <c r="A300">
        <f t="shared" si="4"/>
        <v>299</v>
      </c>
      <c r="B300" s="14">
        <v>43358</v>
      </c>
      <c r="C300" s="14">
        <f>EOMONTH(tbl_GLSalesDetail[[#This Row],[Date]],-1)+1</f>
        <v>43344</v>
      </c>
      <c r="D300" s="17">
        <v>1001</v>
      </c>
      <c r="E300" t="s">
        <v>105</v>
      </c>
      <c r="F300" t="s">
        <v>106</v>
      </c>
      <c r="G300" t="s">
        <v>107</v>
      </c>
      <c r="H300" t="s">
        <v>119</v>
      </c>
      <c r="I300" t="s">
        <v>133</v>
      </c>
      <c r="J300" s="18">
        <v>16086.675000000001</v>
      </c>
      <c r="K300" t="s">
        <v>97</v>
      </c>
      <c r="L300" t="s">
        <v>110</v>
      </c>
      <c r="M300" t="s">
        <v>111</v>
      </c>
      <c r="N300" t="s">
        <v>112</v>
      </c>
      <c r="O300" t="s">
        <v>113</v>
      </c>
    </row>
    <row r="301" spans="1:15" x14ac:dyDescent="0.45">
      <c r="A301">
        <f t="shared" si="4"/>
        <v>300</v>
      </c>
      <c r="B301" s="14">
        <v>43359</v>
      </c>
      <c r="C301" s="14">
        <f>EOMONTH(tbl_GLSalesDetail[[#This Row],[Date]],-1)+1</f>
        <v>43344</v>
      </c>
      <c r="D301" s="17">
        <v>1001</v>
      </c>
      <c r="E301" t="s">
        <v>116</v>
      </c>
      <c r="F301" t="s">
        <v>117</v>
      </c>
      <c r="G301" t="s">
        <v>118</v>
      </c>
      <c r="H301" t="s">
        <v>102</v>
      </c>
      <c r="I301" t="s">
        <v>103</v>
      </c>
      <c r="J301" s="18">
        <v>45800.975000000006</v>
      </c>
      <c r="K301" t="s">
        <v>97</v>
      </c>
      <c r="L301" t="s">
        <v>121</v>
      </c>
      <c r="M301" t="s">
        <v>122</v>
      </c>
      <c r="N301" t="s">
        <v>123</v>
      </c>
      <c r="O301" t="s">
        <v>124</v>
      </c>
    </row>
    <row r="302" spans="1:15" x14ac:dyDescent="0.45">
      <c r="A302">
        <f t="shared" si="4"/>
        <v>301</v>
      </c>
      <c r="B302" s="14">
        <v>43359</v>
      </c>
      <c r="C302" s="14">
        <f>EOMONTH(tbl_GLSalesDetail[[#This Row],[Date]],-1)+1</f>
        <v>43344</v>
      </c>
      <c r="D302" s="17">
        <v>1001</v>
      </c>
      <c r="E302" t="s">
        <v>146</v>
      </c>
      <c r="F302" t="s">
        <v>147</v>
      </c>
      <c r="G302" t="s">
        <v>148</v>
      </c>
      <c r="H302" t="s">
        <v>163</v>
      </c>
      <c r="I302" t="s">
        <v>185</v>
      </c>
      <c r="J302" s="18">
        <v>17755.650000000001</v>
      </c>
      <c r="K302" t="s">
        <v>97</v>
      </c>
      <c r="L302" t="s">
        <v>150</v>
      </c>
      <c r="M302" t="s">
        <v>151</v>
      </c>
      <c r="N302" t="s">
        <v>152</v>
      </c>
      <c r="O302" t="s">
        <v>153</v>
      </c>
    </row>
    <row r="303" spans="1:15" x14ac:dyDescent="0.45">
      <c r="A303">
        <f t="shared" si="4"/>
        <v>302</v>
      </c>
      <c r="B303" s="14">
        <v>43362</v>
      </c>
      <c r="C303" s="14">
        <f>EOMONTH(tbl_GLSalesDetail[[#This Row],[Date]],-1)+1</f>
        <v>43344</v>
      </c>
      <c r="D303" s="17">
        <v>1001</v>
      </c>
      <c r="E303" t="s">
        <v>125</v>
      </c>
      <c r="F303" t="s">
        <v>93</v>
      </c>
      <c r="G303" t="s">
        <v>126</v>
      </c>
      <c r="H303" t="s">
        <v>169</v>
      </c>
      <c r="I303" t="s">
        <v>170</v>
      </c>
      <c r="J303" s="18">
        <v>16717.8</v>
      </c>
      <c r="K303" t="s">
        <v>97</v>
      </c>
      <c r="L303" t="s">
        <v>129</v>
      </c>
      <c r="M303" t="s">
        <v>130</v>
      </c>
      <c r="N303" t="s">
        <v>131</v>
      </c>
      <c r="O303" t="s">
        <v>132</v>
      </c>
    </row>
    <row r="304" spans="1:15" x14ac:dyDescent="0.45">
      <c r="A304">
        <f t="shared" si="4"/>
        <v>303</v>
      </c>
      <c r="B304" s="14">
        <v>43362</v>
      </c>
      <c r="C304" s="14">
        <f>EOMONTH(tbl_GLSalesDetail[[#This Row],[Date]],-1)+1</f>
        <v>43344</v>
      </c>
      <c r="D304" s="17">
        <v>1002</v>
      </c>
      <c r="E304" t="s">
        <v>125</v>
      </c>
      <c r="F304" t="s">
        <v>93</v>
      </c>
      <c r="G304" t="s">
        <v>126</v>
      </c>
      <c r="H304" t="s">
        <v>142</v>
      </c>
      <c r="I304" t="s">
        <v>143</v>
      </c>
      <c r="J304" s="18">
        <v>29690.925000000003</v>
      </c>
      <c r="K304" t="s">
        <v>104</v>
      </c>
      <c r="L304" t="s">
        <v>129</v>
      </c>
      <c r="M304" t="s">
        <v>130</v>
      </c>
      <c r="N304" t="s">
        <v>131</v>
      </c>
      <c r="O304" t="s">
        <v>132</v>
      </c>
    </row>
    <row r="305" spans="1:15" x14ac:dyDescent="0.45">
      <c r="A305">
        <f t="shared" si="4"/>
        <v>304</v>
      </c>
      <c r="B305" s="14">
        <v>43364</v>
      </c>
      <c r="C305" s="14">
        <f>EOMONTH(tbl_GLSalesDetail[[#This Row],[Date]],-1)+1</f>
        <v>43344</v>
      </c>
      <c r="D305" s="17">
        <v>1001</v>
      </c>
      <c r="E305" t="s">
        <v>125</v>
      </c>
      <c r="F305" t="s">
        <v>93</v>
      </c>
      <c r="G305" t="s">
        <v>126</v>
      </c>
      <c r="H305" t="s">
        <v>142</v>
      </c>
      <c r="I305" t="s">
        <v>143</v>
      </c>
      <c r="J305" s="18">
        <v>23043.075000000001</v>
      </c>
      <c r="K305" t="s">
        <v>97</v>
      </c>
      <c r="L305" t="s">
        <v>129</v>
      </c>
      <c r="M305" t="s">
        <v>130</v>
      </c>
      <c r="N305" t="s">
        <v>131</v>
      </c>
      <c r="O305" t="s">
        <v>132</v>
      </c>
    </row>
    <row r="306" spans="1:15" x14ac:dyDescent="0.45">
      <c r="A306">
        <f t="shared" si="4"/>
        <v>305</v>
      </c>
      <c r="B306" s="14">
        <v>43365</v>
      </c>
      <c r="C306" s="14">
        <f>EOMONTH(tbl_GLSalesDetail[[#This Row],[Date]],-1)+1</f>
        <v>43344</v>
      </c>
      <c r="D306" s="17">
        <v>1002</v>
      </c>
      <c r="E306" t="s">
        <v>136</v>
      </c>
      <c r="F306" t="s">
        <v>106</v>
      </c>
      <c r="G306" t="s">
        <v>162</v>
      </c>
      <c r="H306" t="s">
        <v>102</v>
      </c>
      <c r="I306" t="s">
        <v>103</v>
      </c>
      <c r="J306" s="18">
        <v>13866.050000000001</v>
      </c>
      <c r="K306" t="s">
        <v>104</v>
      </c>
      <c r="L306" t="s">
        <v>165</v>
      </c>
      <c r="M306" t="s">
        <v>166</v>
      </c>
      <c r="N306" t="s">
        <v>167</v>
      </c>
      <c r="O306" t="s">
        <v>168</v>
      </c>
    </row>
    <row r="307" spans="1:15" x14ac:dyDescent="0.45">
      <c r="A307">
        <f t="shared" si="4"/>
        <v>306</v>
      </c>
      <c r="B307" s="14">
        <v>43366</v>
      </c>
      <c r="C307" s="14">
        <f>EOMONTH(tbl_GLSalesDetail[[#This Row],[Date]],-1)+1</f>
        <v>43344</v>
      </c>
      <c r="D307" s="17">
        <v>1001</v>
      </c>
      <c r="E307" t="s">
        <v>116</v>
      </c>
      <c r="F307" t="s">
        <v>117</v>
      </c>
      <c r="G307" t="s">
        <v>118</v>
      </c>
      <c r="H307" t="s">
        <v>192</v>
      </c>
      <c r="I307" t="s">
        <v>193</v>
      </c>
      <c r="J307" s="18">
        <v>45744.875</v>
      </c>
      <c r="K307" t="s">
        <v>97</v>
      </c>
      <c r="L307" t="s">
        <v>121</v>
      </c>
      <c r="M307" t="s">
        <v>122</v>
      </c>
      <c r="N307" t="s">
        <v>123</v>
      </c>
      <c r="O307" t="s">
        <v>124</v>
      </c>
    </row>
    <row r="308" spans="1:15" x14ac:dyDescent="0.45">
      <c r="A308">
        <f t="shared" si="4"/>
        <v>307</v>
      </c>
      <c r="B308" s="14">
        <v>43367</v>
      </c>
      <c r="C308" s="14">
        <f>EOMONTH(tbl_GLSalesDetail[[#This Row],[Date]],-1)+1</f>
        <v>43344</v>
      </c>
      <c r="D308" s="17">
        <v>1001</v>
      </c>
      <c r="E308" t="s">
        <v>136</v>
      </c>
      <c r="F308" t="s">
        <v>106</v>
      </c>
      <c r="G308" t="s">
        <v>162</v>
      </c>
      <c r="H308" t="s">
        <v>169</v>
      </c>
      <c r="I308" t="s">
        <v>170</v>
      </c>
      <c r="J308" s="18">
        <v>19153.475000000002</v>
      </c>
      <c r="K308" t="s">
        <v>145</v>
      </c>
      <c r="L308" t="s">
        <v>165</v>
      </c>
      <c r="M308" t="s">
        <v>166</v>
      </c>
      <c r="N308" t="s">
        <v>167</v>
      </c>
      <c r="O308" t="s">
        <v>168</v>
      </c>
    </row>
    <row r="309" spans="1:15" x14ac:dyDescent="0.45">
      <c r="A309">
        <f t="shared" si="4"/>
        <v>308</v>
      </c>
      <c r="B309" s="14">
        <v>43367</v>
      </c>
      <c r="C309" s="14">
        <f>EOMONTH(tbl_GLSalesDetail[[#This Row],[Date]],-1)+1</f>
        <v>43344</v>
      </c>
      <c r="D309" s="17">
        <v>1001</v>
      </c>
      <c r="E309" t="s">
        <v>146</v>
      </c>
      <c r="F309" t="s">
        <v>147</v>
      </c>
      <c r="G309" t="s">
        <v>148</v>
      </c>
      <c r="H309" t="s">
        <v>114</v>
      </c>
      <c r="I309" t="s">
        <v>115</v>
      </c>
      <c r="J309" s="18">
        <v>1785.8500000000001</v>
      </c>
      <c r="K309" t="s">
        <v>145</v>
      </c>
      <c r="L309" t="s">
        <v>150</v>
      </c>
      <c r="M309" t="s">
        <v>151</v>
      </c>
      <c r="N309" t="s">
        <v>152</v>
      </c>
      <c r="O309" t="s">
        <v>153</v>
      </c>
    </row>
    <row r="310" spans="1:15" x14ac:dyDescent="0.45">
      <c r="A310">
        <f t="shared" si="4"/>
        <v>309</v>
      </c>
      <c r="B310" s="14">
        <v>43367</v>
      </c>
      <c r="C310" s="14">
        <f>EOMONTH(tbl_GLSalesDetail[[#This Row],[Date]],-1)+1</f>
        <v>43344</v>
      </c>
      <c r="D310" s="17">
        <v>1001</v>
      </c>
      <c r="E310" t="s">
        <v>136</v>
      </c>
      <c r="F310" t="s">
        <v>106</v>
      </c>
      <c r="G310" t="s">
        <v>137</v>
      </c>
      <c r="H310" t="s">
        <v>142</v>
      </c>
      <c r="I310" t="s">
        <v>143</v>
      </c>
      <c r="J310" s="18">
        <v>17110.5</v>
      </c>
      <c r="K310" t="s">
        <v>145</v>
      </c>
      <c r="L310" t="s">
        <v>138</v>
      </c>
      <c r="M310" t="s">
        <v>139</v>
      </c>
      <c r="N310" t="s">
        <v>140</v>
      </c>
      <c r="O310" t="s">
        <v>141</v>
      </c>
    </row>
    <row r="311" spans="1:15" x14ac:dyDescent="0.45">
      <c r="A311">
        <f t="shared" si="4"/>
        <v>310</v>
      </c>
      <c r="B311" s="14">
        <v>43367</v>
      </c>
      <c r="C311" s="14">
        <f>EOMONTH(tbl_GLSalesDetail[[#This Row],[Date]],-1)+1</f>
        <v>43344</v>
      </c>
      <c r="D311" s="17">
        <v>1001</v>
      </c>
      <c r="E311" t="s">
        <v>125</v>
      </c>
      <c r="F311" t="s">
        <v>93</v>
      </c>
      <c r="G311" t="s">
        <v>126</v>
      </c>
      <c r="H311" t="s">
        <v>134</v>
      </c>
      <c r="I311" t="s">
        <v>135</v>
      </c>
      <c r="J311" s="18">
        <v>28629.7</v>
      </c>
      <c r="K311" t="s">
        <v>145</v>
      </c>
      <c r="L311" t="s">
        <v>129</v>
      </c>
      <c r="M311" t="s">
        <v>130</v>
      </c>
      <c r="N311" t="s">
        <v>131</v>
      </c>
      <c r="O311" t="s">
        <v>132</v>
      </c>
    </row>
    <row r="312" spans="1:15" x14ac:dyDescent="0.45">
      <c r="A312">
        <f t="shared" si="4"/>
        <v>311</v>
      </c>
      <c r="B312" s="14">
        <v>43367</v>
      </c>
      <c r="C312" s="14">
        <f>EOMONTH(tbl_GLSalesDetail[[#This Row],[Date]],-1)+1</f>
        <v>43344</v>
      </c>
      <c r="D312" s="17">
        <v>1001</v>
      </c>
      <c r="E312" t="s">
        <v>92</v>
      </c>
      <c r="F312" t="s">
        <v>93</v>
      </c>
      <c r="G312" t="s">
        <v>94</v>
      </c>
      <c r="H312" t="s">
        <v>119</v>
      </c>
      <c r="I312" t="s">
        <v>120</v>
      </c>
      <c r="J312" s="18">
        <v>35497.275000000001</v>
      </c>
      <c r="K312" t="s">
        <v>145</v>
      </c>
      <c r="L312" t="s">
        <v>98</v>
      </c>
      <c r="M312" t="s">
        <v>99</v>
      </c>
      <c r="N312" t="s">
        <v>100</v>
      </c>
      <c r="O312" t="s">
        <v>101</v>
      </c>
    </row>
    <row r="313" spans="1:15" x14ac:dyDescent="0.45">
      <c r="A313">
        <f t="shared" si="4"/>
        <v>312</v>
      </c>
      <c r="B313" s="14">
        <v>43367</v>
      </c>
      <c r="C313" s="14">
        <f>EOMONTH(tbl_GLSalesDetail[[#This Row],[Date]],-1)+1</f>
        <v>43344</v>
      </c>
      <c r="D313" s="17">
        <v>1001</v>
      </c>
      <c r="E313" t="s">
        <v>146</v>
      </c>
      <c r="F313" t="s">
        <v>147</v>
      </c>
      <c r="G313" t="s">
        <v>148</v>
      </c>
      <c r="H313" t="s">
        <v>102</v>
      </c>
      <c r="I313" t="s">
        <v>103</v>
      </c>
      <c r="J313" s="18">
        <v>21654.600000000002</v>
      </c>
      <c r="K313" t="s">
        <v>145</v>
      </c>
      <c r="L313" t="s">
        <v>150</v>
      </c>
      <c r="M313" t="s">
        <v>151</v>
      </c>
      <c r="N313" t="s">
        <v>152</v>
      </c>
      <c r="O313" t="s">
        <v>153</v>
      </c>
    </row>
    <row r="314" spans="1:15" x14ac:dyDescent="0.45">
      <c r="A314">
        <f t="shared" si="4"/>
        <v>313</v>
      </c>
      <c r="B314" s="14">
        <v>43367</v>
      </c>
      <c r="C314" s="14">
        <f>EOMONTH(tbl_GLSalesDetail[[#This Row],[Date]],-1)+1</f>
        <v>43344</v>
      </c>
      <c r="D314" s="17">
        <v>1001</v>
      </c>
      <c r="E314" t="s">
        <v>155</v>
      </c>
      <c r="F314" t="s">
        <v>117</v>
      </c>
      <c r="G314" t="s">
        <v>156</v>
      </c>
      <c r="H314" t="s">
        <v>142</v>
      </c>
      <c r="I314" t="s">
        <v>154</v>
      </c>
      <c r="J314" s="18">
        <v>39793.600000000006</v>
      </c>
      <c r="K314" t="s">
        <v>145</v>
      </c>
      <c r="L314" t="s">
        <v>158</v>
      </c>
      <c r="M314" t="s">
        <v>159</v>
      </c>
      <c r="N314" t="s">
        <v>140</v>
      </c>
      <c r="O314" t="s">
        <v>141</v>
      </c>
    </row>
    <row r="315" spans="1:15" x14ac:dyDescent="0.45">
      <c r="A315">
        <f t="shared" si="4"/>
        <v>314</v>
      </c>
      <c r="B315" s="14">
        <v>43367</v>
      </c>
      <c r="C315" s="14">
        <f>EOMONTH(tbl_GLSalesDetail[[#This Row],[Date]],-1)+1</f>
        <v>43344</v>
      </c>
      <c r="D315" s="17">
        <v>1001</v>
      </c>
      <c r="E315" t="s">
        <v>146</v>
      </c>
      <c r="F315" t="s">
        <v>147</v>
      </c>
      <c r="G315" t="s">
        <v>180</v>
      </c>
      <c r="H315" t="s">
        <v>127</v>
      </c>
      <c r="I315" t="s">
        <v>128</v>
      </c>
      <c r="J315" s="18">
        <v>16058.625000000002</v>
      </c>
      <c r="K315" t="s">
        <v>97</v>
      </c>
      <c r="L315" t="s">
        <v>181</v>
      </c>
      <c r="M315" t="s">
        <v>182</v>
      </c>
      <c r="N315" t="s">
        <v>183</v>
      </c>
      <c r="O315" t="s">
        <v>184</v>
      </c>
    </row>
    <row r="316" spans="1:15" x14ac:dyDescent="0.45">
      <c r="A316">
        <f t="shared" si="4"/>
        <v>315</v>
      </c>
      <c r="B316" s="14">
        <v>43367</v>
      </c>
      <c r="C316" s="14">
        <f>EOMONTH(tbl_GLSalesDetail[[#This Row],[Date]],-1)+1</f>
        <v>43344</v>
      </c>
      <c r="D316" s="17">
        <v>1001</v>
      </c>
      <c r="E316" t="s">
        <v>116</v>
      </c>
      <c r="F316" t="s">
        <v>117</v>
      </c>
      <c r="G316" t="s">
        <v>118</v>
      </c>
      <c r="H316" t="s">
        <v>119</v>
      </c>
      <c r="I316" t="s">
        <v>133</v>
      </c>
      <c r="J316" s="18">
        <v>34417.35</v>
      </c>
      <c r="K316" t="s">
        <v>97</v>
      </c>
      <c r="L316" t="s">
        <v>121</v>
      </c>
      <c r="M316" t="s">
        <v>122</v>
      </c>
      <c r="N316" t="s">
        <v>123</v>
      </c>
      <c r="O316" t="s">
        <v>124</v>
      </c>
    </row>
    <row r="317" spans="1:15" x14ac:dyDescent="0.45">
      <c r="A317">
        <f t="shared" si="4"/>
        <v>316</v>
      </c>
      <c r="B317" s="14">
        <v>43367</v>
      </c>
      <c r="C317" s="14">
        <f>EOMONTH(tbl_GLSalesDetail[[#This Row],[Date]],-1)+1</f>
        <v>43344</v>
      </c>
      <c r="D317" s="17">
        <v>1001</v>
      </c>
      <c r="E317" t="s">
        <v>136</v>
      </c>
      <c r="F317" t="s">
        <v>106</v>
      </c>
      <c r="G317" t="s">
        <v>137</v>
      </c>
      <c r="H317" t="s">
        <v>102</v>
      </c>
      <c r="I317" t="s">
        <v>103</v>
      </c>
      <c r="J317" s="18">
        <v>28540.875</v>
      </c>
      <c r="K317" t="s">
        <v>97</v>
      </c>
      <c r="L317" t="s">
        <v>138</v>
      </c>
      <c r="M317" t="s">
        <v>139</v>
      </c>
      <c r="N317" t="s">
        <v>140</v>
      </c>
      <c r="O317" t="s">
        <v>141</v>
      </c>
    </row>
    <row r="318" spans="1:15" x14ac:dyDescent="0.45">
      <c r="A318">
        <f t="shared" si="4"/>
        <v>317</v>
      </c>
      <c r="B318" s="14">
        <v>43367</v>
      </c>
      <c r="C318" s="14">
        <f>EOMONTH(tbl_GLSalesDetail[[#This Row],[Date]],-1)+1</f>
        <v>43344</v>
      </c>
      <c r="D318" s="17">
        <v>1002</v>
      </c>
      <c r="E318" t="s">
        <v>155</v>
      </c>
      <c r="F318" t="s">
        <v>117</v>
      </c>
      <c r="G318" t="s">
        <v>156</v>
      </c>
      <c r="H318" t="s">
        <v>169</v>
      </c>
      <c r="I318" t="s">
        <v>170</v>
      </c>
      <c r="J318" s="18">
        <v>29910.65</v>
      </c>
      <c r="K318" t="s">
        <v>104</v>
      </c>
      <c r="L318" t="s">
        <v>158</v>
      </c>
      <c r="M318" t="s">
        <v>159</v>
      </c>
      <c r="N318" t="s">
        <v>140</v>
      </c>
      <c r="O318" t="s">
        <v>141</v>
      </c>
    </row>
    <row r="319" spans="1:15" x14ac:dyDescent="0.45">
      <c r="A319">
        <f t="shared" si="4"/>
        <v>318</v>
      </c>
      <c r="B319" s="14">
        <v>43367</v>
      </c>
      <c r="C319" s="14">
        <f>EOMONTH(tbl_GLSalesDetail[[#This Row],[Date]],-1)+1</f>
        <v>43344</v>
      </c>
      <c r="D319" s="17">
        <v>1002</v>
      </c>
      <c r="E319" t="s">
        <v>146</v>
      </c>
      <c r="F319" t="s">
        <v>147</v>
      </c>
      <c r="G319" t="s">
        <v>171</v>
      </c>
      <c r="H319" t="s">
        <v>205</v>
      </c>
      <c r="I319" t="s">
        <v>206</v>
      </c>
      <c r="J319" s="18">
        <v>38213.450000000004</v>
      </c>
      <c r="K319" t="s">
        <v>104</v>
      </c>
      <c r="L319" t="s">
        <v>172</v>
      </c>
      <c r="M319" t="s">
        <v>173</v>
      </c>
      <c r="N319" t="s">
        <v>174</v>
      </c>
      <c r="O319" t="s">
        <v>175</v>
      </c>
    </row>
    <row r="320" spans="1:15" x14ac:dyDescent="0.45">
      <c r="A320">
        <f t="shared" si="4"/>
        <v>319</v>
      </c>
      <c r="B320" s="14">
        <v>43376</v>
      </c>
      <c r="C320" s="14">
        <f>EOMONTH(tbl_GLSalesDetail[[#This Row],[Date]],-1)+1</f>
        <v>43374</v>
      </c>
      <c r="D320" s="17">
        <v>1001</v>
      </c>
      <c r="E320" t="s">
        <v>116</v>
      </c>
      <c r="F320" t="s">
        <v>117</v>
      </c>
      <c r="G320" t="s">
        <v>118</v>
      </c>
      <c r="H320" t="s">
        <v>142</v>
      </c>
      <c r="I320" t="s">
        <v>154</v>
      </c>
      <c r="J320" s="18">
        <v>5432.35</v>
      </c>
      <c r="K320" t="s">
        <v>145</v>
      </c>
      <c r="L320" t="s">
        <v>121</v>
      </c>
      <c r="M320" t="s">
        <v>122</v>
      </c>
      <c r="N320" t="s">
        <v>123</v>
      </c>
      <c r="O320" t="s">
        <v>124</v>
      </c>
    </row>
    <row r="321" spans="1:15" x14ac:dyDescent="0.45">
      <c r="A321">
        <f t="shared" si="4"/>
        <v>320</v>
      </c>
      <c r="B321" s="14">
        <v>43376</v>
      </c>
      <c r="C321" s="14">
        <f>EOMONTH(tbl_GLSalesDetail[[#This Row],[Date]],-1)+1</f>
        <v>43374</v>
      </c>
      <c r="D321" s="17">
        <v>1001</v>
      </c>
      <c r="E321" t="s">
        <v>92</v>
      </c>
      <c r="F321" t="s">
        <v>93</v>
      </c>
      <c r="G321" t="s">
        <v>94</v>
      </c>
      <c r="H321" t="s">
        <v>169</v>
      </c>
      <c r="I321" t="s">
        <v>170</v>
      </c>
      <c r="J321" s="18">
        <v>28816.7</v>
      </c>
      <c r="K321" t="s">
        <v>97</v>
      </c>
      <c r="L321" t="s">
        <v>98</v>
      </c>
      <c r="M321" t="s">
        <v>99</v>
      </c>
      <c r="N321" t="s">
        <v>100</v>
      </c>
      <c r="O321" t="s">
        <v>101</v>
      </c>
    </row>
    <row r="322" spans="1:15" x14ac:dyDescent="0.45">
      <c r="A322">
        <f t="shared" ref="A322:A385" si="5">ROW()-1</f>
        <v>321</v>
      </c>
      <c r="B322" s="14">
        <v>43376</v>
      </c>
      <c r="C322" s="14">
        <f>EOMONTH(tbl_GLSalesDetail[[#This Row],[Date]],-1)+1</f>
        <v>43374</v>
      </c>
      <c r="D322" s="17">
        <v>1001</v>
      </c>
      <c r="E322" t="s">
        <v>116</v>
      </c>
      <c r="F322" t="s">
        <v>117</v>
      </c>
      <c r="G322" t="s">
        <v>118</v>
      </c>
      <c r="H322" t="s">
        <v>134</v>
      </c>
      <c r="I322" t="s">
        <v>135</v>
      </c>
      <c r="J322" s="18">
        <v>18788.825000000001</v>
      </c>
      <c r="K322" t="s">
        <v>97</v>
      </c>
      <c r="L322" t="s">
        <v>121</v>
      </c>
      <c r="M322" t="s">
        <v>122</v>
      </c>
      <c r="N322" t="s">
        <v>123</v>
      </c>
      <c r="O322" t="s">
        <v>124</v>
      </c>
    </row>
    <row r="323" spans="1:15" x14ac:dyDescent="0.45">
      <c r="A323">
        <f t="shared" si="5"/>
        <v>322</v>
      </c>
      <c r="B323" s="14">
        <v>43378</v>
      </c>
      <c r="C323" s="14">
        <f>EOMONTH(tbl_GLSalesDetail[[#This Row],[Date]],-1)+1</f>
        <v>43374</v>
      </c>
      <c r="D323" s="17">
        <v>1001</v>
      </c>
      <c r="E323" t="s">
        <v>116</v>
      </c>
      <c r="F323" t="s">
        <v>117</v>
      </c>
      <c r="G323" t="s">
        <v>118</v>
      </c>
      <c r="H323" t="s">
        <v>142</v>
      </c>
      <c r="I323" t="s">
        <v>149</v>
      </c>
      <c r="J323" s="18">
        <v>1977.5250000000001</v>
      </c>
      <c r="K323" t="s">
        <v>145</v>
      </c>
      <c r="L323" t="s">
        <v>121</v>
      </c>
      <c r="M323" t="s">
        <v>122</v>
      </c>
      <c r="N323" t="s">
        <v>123</v>
      </c>
      <c r="O323" t="s">
        <v>124</v>
      </c>
    </row>
    <row r="324" spans="1:15" x14ac:dyDescent="0.45">
      <c r="A324">
        <f t="shared" si="5"/>
        <v>323</v>
      </c>
      <c r="B324" s="14">
        <v>43378</v>
      </c>
      <c r="C324" s="14">
        <f>EOMONTH(tbl_GLSalesDetail[[#This Row],[Date]],-1)+1</f>
        <v>43374</v>
      </c>
      <c r="D324" s="17">
        <v>1001</v>
      </c>
      <c r="E324" t="s">
        <v>136</v>
      </c>
      <c r="F324" t="s">
        <v>106</v>
      </c>
      <c r="G324" t="s">
        <v>137</v>
      </c>
      <c r="H324" t="s">
        <v>178</v>
      </c>
      <c r="I324" t="s">
        <v>179</v>
      </c>
      <c r="J324" s="18">
        <v>9331.3000000000011</v>
      </c>
      <c r="K324" t="s">
        <v>145</v>
      </c>
      <c r="L324" t="s">
        <v>138</v>
      </c>
      <c r="M324" t="s">
        <v>139</v>
      </c>
      <c r="N324" t="s">
        <v>140</v>
      </c>
      <c r="O324" t="s">
        <v>141</v>
      </c>
    </row>
    <row r="325" spans="1:15" x14ac:dyDescent="0.45">
      <c r="A325">
        <f t="shared" si="5"/>
        <v>324</v>
      </c>
      <c r="B325" s="14">
        <v>43378</v>
      </c>
      <c r="C325" s="14">
        <f>EOMONTH(tbl_GLSalesDetail[[#This Row],[Date]],-1)+1</f>
        <v>43374</v>
      </c>
      <c r="D325" s="17">
        <v>1001</v>
      </c>
      <c r="E325" t="s">
        <v>146</v>
      </c>
      <c r="F325" t="s">
        <v>147</v>
      </c>
      <c r="G325" t="s">
        <v>180</v>
      </c>
      <c r="H325" t="s">
        <v>134</v>
      </c>
      <c r="I325" t="s">
        <v>135</v>
      </c>
      <c r="J325" s="18">
        <v>19681.75</v>
      </c>
      <c r="K325" t="s">
        <v>145</v>
      </c>
      <c r="L325" t="s">
        <v>181</v>
      </c>
      <c r="M325" t="s">
        <v>182</v>
      </c>
      <c r="N325" t="s">
        <v>183</v>
      </c>
      <c r="O325" t="s">
        <v>184</v>
      </c>
    </row>
    <row r="326" spans="1:15" x14ac:dyDescent="0.45">
      <c r="A326">
        <f t="shared" si="5"/>
        <v>325</v>
      </c>
      <c r="B326" s="14">
        <v>43378</v>
      </c>
      <c r="C326" s="14">
        <f>EOMONTH(tbl_GLSalesDetail[[#This Row],[Date]],-1)+1</f>
        <v>43374</v>
      </c>
      <c r="D326" s="17">
        <v>1001</v>
      </c>
      <c r="E326" t="s">
        <v>136</v>
      </c>
      <c r="F326" t="s">
        <v>106</v>
      </c>
      <c r="G326" t="s">
        <v>137</v>
      </c>
      <c r="H326" t="s">
        <v>205</v>
      </c>
      <c r="I326" t="s">
        <v>206</v>
      </c>
      <c r="J326" s="18">
        <v>34866.15</v>
      </c>
      <c r="K326" t="s">
        <v>145</v>
      </c>
      <c r="L326" t="s">
        <v>138</v>
      </c>
      <c r="M326" t="s">
        <v>139</v>
      </c>
      <c r="N326" t="s">
        <v>140</v>
      </c>
      <c r="O326" t="s">
        <v>141</v>
      </c>
    </row>
    <row r="327" spans="1:15" x14ac:dyDescent="0.45">
      <c r="A327">
        <f t="shared" si="5"/>
        <v>326</v>
      </c>
      <c r="B327" s="14">
        <v>43378</v>
      </c>
      <c r="C327" s="14">
        <f>EOMONTH(tbl_GLSalesDetail[[#This Row],[Date]],-1)+1</f>
        <v>43374</v>
      </c>
      <c r="D327" s="17">
        <v>1001</v>
      </c>
      <c r="E327" t="s">
        <v>92</v>
      </c>
      <c r="F327" t="s">
        <v>93</v>
      </c>
      <c r="G327" t="s">
        <v>94</v>
      </c>
      <c r="H327" t="s">
        <v>102</v>
      </c>
      <c r="I327" t="s">
        <v>144</v>
      </c>
      <c r="J327" s="18">
        <v>15362.050000000001</v>
      </c>
      <c r="K327" t="s">
        <v>145</v>
      </c>
      <c r="L327" t="s">
        <v>98</v>
      </c>
      <c r="M327" t="s">
        <v>99</v>
      </c>
      <c r="N327" t="s">
        <v>100</v>
      </c>
      <c r="O327" t="s">
        <v>101</v>
      </c>
    </row>
    <row r="328" spans="1:15" x14ac:dyDescent="0.45">
      <c r="A328">
        <f t="shared" si="5"/>
        <v>327</v>
      </c>
      <c r="B328" s="14">
        <v>43378</v>
      </c>
      <c r="C328" s="14">
        <f>EOMONTH(tbl_GLSalesDetail[[#This Row],[Date]],-1)+1</f>
        <v>43374</v>
      </c>
      <c r="D328" s="17">
        <v>1001</v>
      </c>
      <c r="E328" t="s">
        <v>92</v>
      </c>
      <c r="F328" t="s">
        <v>93</v>
      </c>
      <c r="G328" t="s">
        <v>94</v>
      </c>
      <c r="H328" t="s">
        <v>163</v>
      </c>
      <c r="I328" t="s">
        <v>185</v>
      </c>
      <c r="J328" s="18">
        <v>29625.475000000002</v>
      </c>
      <c r="K328" t="s">
        <v>145</v>
      </c>
      <c r="L328" t="s">
        <v>98</v>
      </c>
      <c r="M328" t="s">
        <v>99</v>
      </c>
      <c r="N328" t="s">
        <v>100</v>
      </c>
      <c r="O328" t="s">
        <v>101</v>
      </c>
    </row>
    <row r="329" spans="1:15" x14ac:dyDescent="0.45">
      <c r="A329">
        <f t="shared" si="5"/>
        <v>328</v>
      </c>
      <c r="B329" s="14">
        <v>43378</v>
      </c>
      <c r="C329" s="14">
        <f>EOMONTH(tbl_GLSalesDetail[[#This Row],[Date]],-1)+1</f>
        <v>43374</v>
      </c>
      <c r="D329" s="17">
        <v>1001</v>
      </c>
      <c r="E329" t="s">
        <v>136</v>
      </c>
      <c r="F329" t="s">
        <v>106</v>
      </c>
      <c r="G329" t="s">
        <v>162</v>
      </c>
      <c r="H329" t="s">
        <v>127</v>
      </c>
      <c r="I329" t="s">
        <v>128</v>
      </c>
      <c r="J329" s="18">
        <v>34010.625</v>
      </c>
      <c r="K329" t="s">
        <v>145</v>
      </c>
      <c r="L329" t="s">
        <v>165</v>
      </c>
      <c r="M329" t="s">
        <v>166</v>
      </c>
      <c r="N329" t="s">
        <v>167</v>
      </c>
      <c r="O329" t="s">
        <v>168</v>
      </c>
    </row>
    <row r="330" spans="1:15" x14ac:dyDescent="0.45">
      <c r="A330">
        <f t="shared" si="5"/>
        <v>329</v>
      </c>
      <c r="B330" s="14">
        <v>43378</v>
      </c>
      <c r="C330" s="14">
        <f>EOMONTH(tbl_GLSalesDetail[[#This Row],[Date]],-1)+1</f>
        <v>43374</v>
      </c>
      <c r="D330" s="17">
        <v>1001</v>
      </c>
      <c r="E330" t="s">
        <v>155</v>
      </c>
      <c r="F330" t="s">
        <v>117</v>
      </c>
      <c r="G330" t="s">
        <v>156</v>
      </c>
      <c r="H330" t="s">
        <v>178</v>
      </c>
      <c r="I330" t="s">
        <v>179</v>
      </c>
      <c r="J330" s="18">
        <v>26558.675000000003</v>
      </c>
      <c r="K330" t="s">
        <v>145</v>
      </c>
      <c r="L330" t="s">
        <v>158</v>
      </c>
      <c r="M330" t="s">
        <v>159</v>
      </c>
      <c r="N330" t="s">
        <v>140</v>
      </c>
      <c r="O330" t="s">
        <v>141</v>
      </c>
    </row>
    <row r="331" spans="1:15" x14ac:dyDescent="0.45">
      <c r="A331">
        <f t="shared" si="5"/>
        <v>330</v>
      </c>
      <c r="B331" s="14">
        <v>43378</v>
      </c>
      <c r="C331" s="14">
        <f>EOMONTH(tbl_GLSalesDetail[[#This Row],[Date]],-1)+1</f>
        <v>43374</v>
      </c>
      <c r="D331" s="17">
        <v>1001</v>
      </c>
      <c r="E331" t="s">
        <v>125</v>
      </c>
      <c r="F331" t="s">
        <v>93</v>
      </c>
      <c r="G331" t="s">
        <v>126</v>
      </c>
      <c r="H331" t="s">
        <v>119</v>
      </c>
      <c r="I331" t="s">
        <v>120</v>
      </c>
      <c r="J331" s="18">
        <v>14095.125</v>
      </c>
      <c r="K331" t="s">
        <v>145</v>
      </c>
      <c r="L331" t="s">
        <v>129</v>
      </c>
      <c r="M331" t="s">
        <v>130</v>
      </c>
      <c r="N331" t="s">
        <v>131</v>
      </c>
      <c r="O331" t="s">
        <v>132</v>
      </c>
    </row>
    <row r="332" spans="1:15" x14ac:dyDescent="0.45">
      <c r="A332">
        <f t="shared" si="5"/>
        <v>331</v>
      </c>
      <c r="B332" s="14">
        <v>43378</v>
      </c>
      <c r="C332" s="14">
        <f>EOMONTH(tbl_GLSalesDetail[[#This Row],[Date]],-1)+1</f>
        <v>43374</v>
      </c>
      <c r="D332" s="17">
        <v>1001</v>
      </c>
      <c r="E332" t="s">
        <v>136</v>
      </c>
      <c r="F332" t="s">
        <v>106</v>
      </c>
      <c r="G332" t="s">
        <v>137</v>
      </c>
      <c r="H332" t="s">
        <v>102</v>
      </c>
      <c r="I332" t="s">
        <v>160</v>
      </c>
      <c r="J332" s="18">
        <v>26530.625</v>
      </c>
      <c r="K332" t="s">
        <v>97</v>
      </c>
      <c r="L332" t="s">
        <v>138</v>
      </c>
      <c r="M332" t="s">
        <v>139</v>
      </c>
      <c r="N332" t="s">
        <v>140</v>
      </c>
      <c r="O332" t="s">
        <v>141</v>
      </c>
    </row>
    <row r="333" spans="1:15" x14ac:dyDescent="0.45">
      <c r="A333">
        <f t="shared" si="5"/>
        <v>332</v>
      </c>
      <c r="B333" s="14">
        <v>43378</v>
      </c>
      <c r="C333" s="14">
        <f>EOMONTH(tbl_GLSalesDetail[[#This Row],[Date]],-1)+1</f>
        <v>43374</v>
      </c>
      <c r="D333" s="17">
        <v>1001</v>
      </c>
      <c r="E333" t="s">
        <v>155</v>
      </c>
      <c r="F333" t="s">
        <v>117</v>
      </c>
      <c r="G333" t="s">
        <v>156</v>
      </c>
      <c r="H333" t="s">
        <v>119</v>
      </c>
      <c r="I333" t="s">
        <v>120</v>
      </c>
      <c r="J333" s="18">
        <v>7863.35</v>
      </c>
      <c r="K333" t="s">
        <v>97</v>
      </c>
      <c r="L333" t="s">
        <v>158</v>
      </c>
      <c r="M333" t="s">
        <v>159</v>
      </c>
      <c r="N333" t="s">
        <v>140</v>
      </c>
      <c r="O333" t="s">
        <v>141</v>
      </c>
    </row>
    <row r="334" spans="1:15" x14ac:dyDescent="0.45">
      <c r="A334">
        <f t="shared" si="5"/>
        <v>333</v>
      </c>
      <c r="B334" s="14">
        <v>43378</v>
      </c>
      <c r="C334" s="14">
        <f>EOMONTH(tbl_GLSalesDetail[[#This Row],[Date]],-1)+1</f>
        <v>43374</v>
      </c>
      <c r="D334" s="17">
        <v>1001</v>
      </c>
      <c r="E334" t="s">
        <v>125</v>
      </c>
      <c r="F334" t="s">
        <v>93</v>
      </c>
      <c r="G334" t="s">
        <v>126</v>
      </c>
      <c r="H334" t="s">
        <v>102</v>
      </c>
      <c r="I334" t="s">
        <v>160</v>
      </c>
      <c r="J334" s="18">
        <v>24641.925000000003</v>
      </c>
      <c r="K334" t="s">
        <v>97</v>
      </c>
      <c r="L334" t="s">
        <v>129</v>
      </c>
      <c r="M334" t="s">
        <v>130</v>
      </c>
      <c r="N334" t="s">
        <v>131</v>
      </c>
      <c r="O334" t="s">
        <v>132</v>
      </c>
    </row>
    <row r="335" spans="1:15" x14ac:dyDescent="0.45">
      <c r="A335">
        <f t="shared" si="5"/>
        <v>334</v>
      </c>
      <c r="B335" s="14">
        <v>43378</v>
      </c>
      <c r="C335" s="14">
        <f>EOMONTH(tbl_GLSalesDetail[[#This Row],[Date]],-1)+1</f>
        <v>43374</v>
      </c>
      <c r="D335" s="17">
        <v>1001</v>
      </c>
      <c r="E335" t="s">
        <v>136</v>
      </c>
      <c r="F335" t="s">
        <v>106</v>
      </c>
      <c r="G335" t="s">
        <v>162</v>
      </c>
      <c r="H335" t="s">
        <v>192</v>
      </c>
      <c r="I335" t="s">
        <v>193</v>
      </c>
      <c r="J335" s="18">
        <v>10691.725</v>
      </c>
      <c r="K335" t="s">
        <v>97</v>
      </c>
      <c r="L335" t="s">
        <v>165</v>
      </c>
      <c r="M335" t="s">
        <v>166</v>
      </c>
      <c r="N335" t="s">
        <v>167</v>
      </c>
      <c r="O335" t="s">
        <v>168</v>
      </c>
    </row>
    <row r="336" spans="1:15" x14ac:dyDescent="0.45">
      <c r="A336">
        <f t="shared" si="5"/>
        <v>335</v>
      </c>
      <c r="B336" s="14">
        <v>43378</v>
      </c>
      <c r="C336" s="14">
        <f>EOMONTH(tbl_GLSalesDetail[[#This Row],[Date]],-1)+1</f>
        <v>43374</v>
      </c>
      <c r="D336" s="17">
        <v>1001</v>
      </c>
      <c r="E336" t="s">
        <v>125</v>
      </c>
      <c r="F336" t="s">
        <v>93</v>
      </c>
      <c r="G336" t="s">
        <v>126</v>
      </c>
      <c r="H336" t="s">
        <v>119</v>
      </c>
      <c r="I336" t="s">
        <v>120</v>
      </c>
      <c r="J336" s="18">
        <v>112.2</v>
      </c>
      <c r="K336" t="s">
        <v>97</v>
      </c>
      <c r="L336" t="s">
        <v>129</v>
      </c>
      <c r="M336" t="s">
        <v>130</v>
      </c>
      <c r="N336" t="s">
        <v>131</v>
      </c>
      <c r="O336" t="s">
        <v>132</v>
      </c>
    </row>
    <row r="337" spans="1:15" x14ac:dyDescent="0.45">
      <c r="A337">
        <f t="shared" si="5"/>
        <v>336</v>
      </c>
      <c r="B337" s="14">
        <v>43378</v>
      </c>
      <c r="C337" s="14">
        <f>EOMONTH(tbl_GLSalesDetail[[#This Row],[Date]],-1)+1</f>
        <v>43374</v>
      </c>
      <c r="D337" s="17">
        <v>1001</v>
      </c>
      <c r="E337" t="s">
        <v>116</v>
      </c>
      <c r="F337" t="s">
        <v>117</v>
      </c>
      <c r="G337" t="s">
        <v>118</v>
      </c>
      <c r="H337" t="s">
        <v>102</v>
      </c>
      <c r="I337" t="s">
        <v>161</v>
      </c>
      <c r="J337" s="18">
        <v>36853.025000000001</v>
      </c>
      <c r="K337" t="s">
        <v>97</v>
      </c>
      <c r="L337" t="s">
        <v>121</v>
      </c>
      <c r="M337" t="s">
        <v>122</v>
      </c>
      <c r="N337" t="s">
        <v>123</v>
      </c>
      <c r="O337" t="s">
        <v>124</v>
      </c>
    </row>
    <row r="338" spans="1:15" x14ac:dyDescent="0.45">
      <c r="A338">
        <f t="shared" si="5"/>
        <v>337</v>
      </c>
      <c r="B338" s="14">
        <v>43378</v>
      </c>
      <c r="C338" s="14">
        <f>EOMONTH(tbl_GLSalesDetail[[#This Row],[Date]],-1)+1</f>
        <v>43374</v>
      </c>
      <c r="D338" s="17">
        <v>1001</v>
      </c>
      <c r="E338" t="s">
        <v>146</v>
      </c>
      <c r="F338" t="s">
        <v>147</v>
      </c>
      <c r="G338" t="s">
        <v>180</v>
      </c>
      <c r="H338" t="s">
        <v>176</v>
      </c>
      <c r="I338" t="s">
        <v>177</v>
      </c>
      <c r="J338" s="18">
        <v>44155.375</v>
      </c>
      <c r="K338" t="s">
        <v>97</v>
      </c>
      <c r="L338" t="s">
        <v>181</v>
      </c>
      <c r="M338" t="s">
        <v>182</v>
      </c>
      <c r="N338" t="s">
        <v>183</v>
      </c>
      <c r="O338" t="s">
        <v>184</v>
      </c>
    </row>
    <row r="339" spans="1:15" x14ac:dyDescent="0.45">
      <c r="A339">
        <f t="shared" si="5"/>
        <v>338</v>
      </c>
      <c r="B339" s="14">
        <v>43378</v>
      </c>
      <c r="C339" s="14">
        <f>EOMONTH(tbl_GLSalesDetail[[#This Row],[Date]],-1)+1</f>
        <v>43374</v>
      </c>
      <c r="D339" s="17">
        <v>1001</v>
      </c>
      <c r="E339" t="s">
        <v>146</v>
      </c>
      <c r="F339" t="s">
        <v>147</v>
      </c>
      <c r="G339" t="s">
        <v>171</v>
      </c>
      <c r="H339" t="s">
        <v>178</v>
      </c>
      <c r="I339" t="s">
        <v>179</v>
      </c>
      <c r="J339" s="18">
        <v>30284.65</v>
      </c>
      <c r="K339" t="s">
        <v>97</v>
      </c>
      <c r="L339" t="s">
        <v>172</v>
      </c>
      <c r="M339" t="s">
        <v>173</v>
      </c>
      <c r="N339" t="s">
        <v>174</v>
      </c>
      <c r="O339" t="s">
        <v>175</v>
      </c>
    </row>
    <row r="340" spans="1:15" x14ac:dyDescent="0.45">
      <c r="A340">
        <f t="shared" si="5"/>
        <v>339</v>
      </c>
      <c r="B340" s="14">
        <v>43378</v>
      </c>
      <c r="C340" s="14">
        <f>EOMONTH(tbl_GLSalesDetail[[#This Row],[Date]],-1)+1</f>
        <v>43374</v>
      </c>
      <c r="D340" s="17">
        <v>1001</v>
      </c>
      <c r="E340" t="s">
        <v>125</v>
      </c>
      <c r="F340" t="s">
        <v>93</v>
      </c>
      <c r="G340" t="s">
        <v>126</v>
      </c>
      <c r="H340" t="s">
        <v>169</v>
      </c>
      <c r="I340" t="s">
        <v>170</v>
      </c>
      <c r="J340" s="18">
        <v>42626.65</v>
      </c>
      <c r="K340" t="s">
        <v>97</v>
      </c>
      <c r="L340" t="s">
        <v>129</v>
      </c>
      <c r="M340" t="s">
        <v>130</v>
      </c>
      <c r="N340" t="s">
        <v>131</v>
      </c>
      <c r="O340" t="s">
        <v>132</v>
      </c>
    </row>
    <row r="341" spans="1:15" x14ac:dyDescent="0.45">
      <c r="A341">
        <f t="shared" si="5"/>
        <v>340</v>
      </c>
      <c r="B341" s="14">
        <v>43378</v>
      </c>
      <c r="C341" s="14">
        <f>EOMONTH(tbl_GLSalesDetail[[#This Row],[Date]],-1)+1</f>
        <v>43374</v>
      </c>
      <c r="D341" s="17">
        <v>1002</v>
      </c>
      <c r="E341" t="s">
        <v>146</v>
      </c>
      <c r="F341" t="s">
        <v>147</v>
      </c>
      <c r="G341" t="s">
        <v>171</v>
      </c>
      <c r="H341" t="s">
        <v>205</v>
      </c>
      <c r="I341" t="s">
        <v>206</v>
      </c>
      <c r="J341" s="18">
        <v>26273.5</v>
      </c>
      <c r="K341" t="s">
        <v>104</v>
      </c>
      <c r="L341" t="s">
        <v>172</v>
      </c>
      <c r="M341" t="s">
        <v>173</v>
      </c>
      <c r="N341" t="s">
        <v>174</v>
      </c>
      <c r="O341" t="s">
        <v>175</v>
      </c>
    </row>
    <row r="342" spans="1:15" x14ac:dyDescent="0.45">
      <c r="A342">
        <f t="shared" si="5"/>
        <v>341</v>
      </c>
      <c r="B342" s="14">
        <v>43378</v>
      </c>
      <c r="C342" s="14">
        <f>EOMONTH(tbl_GLSalesDetail[[#This Row],[Date]],-1)+1</f>
        <v>43374</v>
      </c>
      <c r="D342" s="17">
        <v>1002</v>
      </c>
      <c r="E342" t="s">
        <v>125</v>
      </c>
      <c r="F342" t="s">
        <v>93</v>
      </c>
      <c r="G342" t="s">
        <v>126</v>
      </c>
      <c r="H342" t="s">
        <v>142</v>
      </c>
      <c r="I342" t="s">
        <v>157</v>
      </c>
      <c r="J342" s="18">
        <v>41490.625</v>
      </c>
      <c r="K342" t="s">
        <v>104</v>
      </c>
      <c r="L342" t="s">
        <v>129</v>
      </c>
      <c r="M342" t="s">
        <v>130</v>
      </c>
      <c r="N342" t="s">
        <v>131</v>
      </c>
      <c r="O342" t="s">
        <v>132</v>
      </c>
    </row>
    <row r="343" spans="1:15" x14ac:dyDescent="0.45">
      <c r="A343">
        <f t="shared" si="5"/>
        <v>342</v>
      </c>
      <c r="B343" s="14">
        <v>43378</v>
      </c>
      <c r="C343" s="14">
        <f>EOMONTH(tbl_GLSalesDetail[[#This Row],[Date]],-1)+1</f>
        <v>43374</v>
      </c>
      <c r="D343" s="17">
        <v>1002</v>
      </c>
      <c r="E343" t="s">
        <v>125</v>
      </c>
      <c r="F343" t="s">
        <v>93</v>
      </c>
      <c r="G343" t="s">
        <v>126</v>
      </c>
      <c r="H343" t="s">
        <v>134</v>
      </c>
      <c r="I343" t="s">
        <v>135</v>
      </c>
      <c r="J343" s="18">
        <v>35688.950000000004</v>
      </c>
      <c r="K343" t="s">
        <v>104</v>
      </c>
      <c r="L343" t="s">
        <v>129</v>
      </c>
      <c r="M343" t="s">
        <v>130</v>
      </c>
      <c r="N343" t="s">
        <v>131</v>
      </c>
      <c r="O343" t="s">
        <v>132</v>
      </c>
    </row>
    <row r="344" spans="1:15" x14ac:dyDescent="0.45">
      <c r="A344">
        <f t="shared" si="5"/>
        <v>343</v>
      </c>
      <c r="B344" s="14">
        <v>43378</v>
      </c>
      <c r="C344" s="14">
        <f>EOMONTH(tbl_GLSalesDetail[[#This Row],[Date]],-1)+1</f>
        <v>43374</v>
      </c>
      <c r="D344" s="17">
        <v>1002</v>
      </c>
      <c r="E344" t="s">
        <v>136</v>
      </c>
      <c r="F344" t="s">
        <v>106</v>
      </c>
      <c r="G344" t="s">
        <v>137</v>
      </c>
      <c r="H344" t="s">
        <v>205</v>
      </c>
      <c r="I344" t="s">
        <v>206</v>
      </c>
      <c r="J344" s="18">
        <v>33384.175000000003</v>
      </c>
      <c r="K344" t="s">
        <v>104</v>
      </c>
      <c r="L344" t="s">
        <v>138</v>
      </c>
      <c r="M344" t="s">
        <v>139</v>
      </c>
      <c r="N344" t="s">
        <v>140</v>
      </c>
      <c r="O344" t="s">
        <v>141</v>
      </c>
    </row>
    <row r="345" spans="1:15" x14ac:dyDescent="0.45">
      <c r="A345">
        <f t="shared" si="5"/>
        <v>344</v>
      </c>
      <c r="B345" s="14">
        <v>43378</v>
      </c>
      <c r="C345" s="14">
        <f>EOMONTH(tbl_GLSalesDetail[[#This Row],[Date]],-1)+1</f>
        <v>43374</v>
      </c>
      <c r="D345" s="17">
        <v>1002</v>
      </c>
      <c r="E345" t="s">
        <v>136</v>
      </c>
      <c r="F345" t="s">
        <v>106</v>
      </c>
      <c r="G345" t="s">
        <v>137</v>
      </c>
      <c r="H345" t="s">
        <v>142</v>
      </c>
      <c r="I345" t="s">
        <v>154</v>
      </c>
      <c r="J345" s="18">
        <v>20149.25</v>
      </c>
      <c r="K345" t="s">
        <v>104</v>
      </c>
      <c r="L345" t="s">
        <v>138</v>
      </c>
      <c r="M345" t="s">
        <v>139</v>
      </c>
      <c r="N345" t="s">
        <v>140</v>
      </c>
      <c r="O345" t="s">
        <v>141</v>
      </c>
    </row>
    <row r="346" spans="1:15" x14ac:dyDescent="0.45">
      <c r="A346">
        <f t="shared" si="5"/>
        <v>345</v>
      </c>
      <c r="B346" s="14">
        <v>43378</v>
      </c>
      <c r="C346" s="14">
        <f>EOMONTH(tbl_GLSalesDetail[[#This Row],[Date]],-1)+1</f>
        <v>43374</v>
      </c>
      <c r="D346" s="17">
        <v>1002</v>
      </c>
      <c r="E346" t="s">
        <v>146</v>
      </c>
      <c r="F346" t="s">
        <v>147</v>
      </c>
      <c r="G346" t="s">
        <v>171</v>
      </c>
      <c r="H346" t="s">
        <v>119</v>
      </c>
      <c r="I346" t="s">
        <v>120</v>
      </c>
      <c r="J346" s="18">
        <v>35932.050000000003</v>
      </c>
      <c r="K346" t="s">
        <v>104</v>
      </c>
      <c r="L346" t="s">
        <v>172</v>
      </c>
      <c r="M346" t="s">
        <v>173</v>
      </c>
      <c r="N346" t="s">
        <v>174</v>
      </c>
      <c r="O346" t="s">
        <v>175</v>
      </c>
    </row>
    <row r="347" spans="1:15" x14ac:dyDescent="0.45">
      <c r="A347">
        <f t="shared" si="5"/>
        <v>346</v>
      </c>
      <c r="B347" s="14">
        <v>43378</v>
      </c>
      <c r="C347" s="14">
        <f>EOMONTH(tbl_GLSalesDetail[[#This Row],[Date]],-1)+1</f>
        <v>43374</v>
      </c>
      <c r="D347" s="17">
        <v>1002</v>
      </c>
      <c r="E347" t="s">
        <v>92</v>
      </c>
      <c r="F347" t="s">
        <v>93</v>
      </c>
      <c r="G347" t="s">
        <v>94</v>
      </c>
      <c r="H347" t="s">
        <v>142</v>
      </c>
      <c r="I347" t="s">
        <v>149</v>
      </c>
      <c r="J347" s="18">
        <v>42346.15</v>
      </c>
      <c r="K347" t="s">
        <v>104</v>
      </c>
      <c r="L347" t="s">
        <v>98</v>
      </c>
      <c r="M347" t="s">
        <v>99</v>
      </c>
      <c r="N347" t="s">
        <v>100</v>
      </c>
      <c r="O347" t="s">
        <v>101</v>
      </c>
    </row>
    <row r="348" spans="1:15" x14ac:dyDescent="0.45">
      <c r="A348">
        <f t="shared" si="5"/>
        <v>347</v>
      </c>
      <c r="B348" s="14">
        <v>43378</v>
      </c>
      <c r="C348" s="14">
        <f>EOMONTH(tbl_GLSalesDetail[[#This Row],[Date]],-1)+1</f>
        <v>43374</v>
      </c>
      <c r="D348" s="17">
        <v>1002</v>
      </c>
      <c r="E348" t="s">
        <v>155</v>
      </c>
      <c r="F348" t="s">
        <v>117</v>
      </c>
      <c r="G348" t="s">
        <v>156</v>
      </c>
      <c r="H348" t="s">
        <v>102</v>
      </c>
      <c r="I348" t="s">
        <v>161</v>
      </c>
      <c r="J348" s="18">
        <v>19059.975000000002</v>
      </c>
      <c r="K348" t="s">
        <v>104</v>
      </c>
      <c r="L348" t="s">
        <v>158</v>
      </c>
      <c r="M348" t="s">
        <v>159</v>
      </c>
      <c r="N348" t="s">
        <v>140</v>
      </c>
      <c r="O348" t="s">
        <v>141</v>
      </c>
    </row>
    <row r="349" spans="1:15" x14ac:dyDescent="0.45">
      <c r="A349">
        <f t="shared" si="5"/>
        <v>348</v>
      </c>
      <c r="B349" s="14">
        <v>43379</v>
      </c>
      <c r="C349" s="14">
        <f>EOMONTH(tbl_GLSalesDetail[[#This Row],[Date]],-1)+1</f>
        <v>43374</v>
      </c>
      <c r="D349" s="17">
        <v>1001</v>
      </c>
      <c r="E349" t="s">
        <v>155</v>
      </c>
      <c r="F349" t="s">
        <v>117</v>
      </c>
      <c r="G349" t="s">
        <v>156</v>
      </c>
      <c r="H349" t="s">
        <v>127</v>
      </c>
      <c r="I349" t="s">
        <v>128</v>
      </c>
      <c r="J349" s="18">
        <v>46404.05</v>
      </c>
      <c r="K349" t="s">
        <v>97</v>
      </c>
      <c r="L349" t="s">
        <v>158</v>
      </c>
      <c r="M349" t="s">
        <v>159</v>
      </c>
      <c r="N349" t="s">
        <v>140</v>
      </c>
      <c r="O349" t="s">
        <v>141</v>
      </c>
    </row>
    <row r="350" spans="1:15" x14ac:dyDescent="0.45">
      <c r="A350">
        <f t="shared" si="5"/>
        <v>349</v>
      </c>
      <c r="B350" s="14">
        <v>43380</v>
      </c>
      <c r="C350" s="14">
        <f>EOMONTH(tbl_GLSalesDetail[[#This Row],[Date]],-1)+1</f>
        <v>43374</v>
      </c>
      <c r="D350" s="17">
        <v>1001</v>
      </c>
      <c r="E350" t="s">
        <v>146</v>
      </c>
      <c r="F350" t="s">
        <v>147</v>
      </c>
      <c r="G350" t="s">
        <v>171</v>
      </c>
      <c r="H350" t="s">
        <v>102</v>
      </c>
      <c r="I350" t="s">
        <v>161</v>
      </c>
      <c r="J350" s="18">
        <v>663.85</v>
      </c>
      <c r="K350" t="s">
        <v>145</v>
      </c>
      <c r="L350" t="s">
        <v>172</v>
      </c>
      <c r="M350" t="s">
        <v>173</v>
      </c>
      <c r="N350" t="s">
        <v>174</v>
      </c>
      <c r="O350" t="s">
        <v>175</v>
      </c>
    </row>
    <row r="351" spans="1:15" x14ac:dyDescent="0.45">
      <c r="A351">
        <f t="shared" si="5"/>
        <v>350</v>
      </c>
      <c r="B351" s="14">
        <v>43380</v>
      </c>
      <c r="C351" s="14">
        <f>EOMONTH(tbl_GLSalesDetail[[#This Row],[Date]],-1)+1</f>
        <v>43374</v>
      </c>
      <c r="D351" s="17">
        <v>1001</v>
      </c>
      <c r="E351" t="s">
        <v>136</v>
      </c>
      <c r="F351" t="s">
        <v>106</v>
      </c>
      <c r="G351" t="s">
        <v>162</v>
      </c>
      <c r="H351" t="s">
        <v>102</v>
      </c>
      <c r="I351" t="s">
        <v>103</v>
      </c>
      <c r="J351" s="18">
        <v>3478.2000000000003</v>
      </c>
      <c r="K351" t="s">
        <v>145</v>
      </c>
      <c r="L351" t="s">
        <v>165</v>
      </c>
      <c r="M351" t="s">
        <v>166</v>
      </c>
      <c r="N351" t="s">
        <v>167</v>
      </c>
      <c r="O351" t="s">
        <v>168</v>
      </c>
    </row>
    <row r="352" spans="1:15" x14ac:dyDescent="0.45">
      <c r="A352">
        <f t="shared" si="5"/>
        <v>351</v>
      </c>
      <c r="B352" s="14">
        <v>43380</v>
      </c>
      <c r="C352" s="14">
        <f>EOMONTH(tbl_GLSalesDetail[[#This Row],[Date]],-1)+1</f>
        <v>43374</v>
      </c>
      <c r="D352" s="17">
        <v>1001</v>
      </c>
      <c r="E352" t="s">
        <v>146</v>
      </c>
      <c r="F352" t="s">
        <v>147</v>
      </c>
      <c r="G352" t="s">
        <v>180</v>
      </c>
      <c r="H352" t="s">
        <v>95</v>
      </c>
      <c r="I352" t="s">
        <v>96</v>
      </c>
      <c r="J352" s="18">
        <v>45670.075000000004</v>
      </c>
      <c r="K352" t="s">
        <v>145</v>
      </c>
      <c r="L352" t="s">
        <v>181</v>
      </c>
      <c r="M352" t="s">
        <v>182</v>
      </c>
      <c r="N352" t="s">
        <v>183</v>
      </c>
      <c r="O352" t="s">
        <v>184</v>
      </c>
    </row>
    <row r="353" spans="1:15" x14ac:dyDescent="0.45">
      <c r="A353">
        <f t="shared" si="5"/>
        <v>352</v>
      </c>
      <c r="B353" s="14">
        <v>43380</v>
      </c>
      <c r="C353" s="14">
        <f>EOMONTH(tbl_GLSalesDetail[[#This Row],[Date]],-1)+1</f>
        <v>43374</v>
      </c>
      <c r="D353" s="17">
        <v>1001</v>
      </c>
      <c r="E353" t="s">
        <v>125</v>
      </c>
      <c r="F353" t="s">
        <v>93</v>
      </c>
      <c r="G353" t="s">
        <v>126</v>
      </c>
      <c r="H353" t="s">
        <v>163</v>
      </c>
      <c r="I353" t="s">
        <v>185</v>
      </c>
      <c r="J353" s="18">
        <v>45754.225000000006</v>
      </c>
      <c r="K353" t="s">
        <v>97</v>
      </c>
      <c r="L353" t="s">
        <v>129</v>
      </c>
      <c r="M353" t="s">
        <v>130</v>
      </c>
      <c r="N353" t="s">
        <v>131</v>
      </c>
      <c r="O353" t="s">
        <v>132</v>
      </c>
    </row>
    <row r="354" spans="1:15" x14ac:dyDescent="0.45">
      <c r="A354">
        <f t="shared" si="5"/>
        <v>353</v>
      </c>
      <c r="B354" s="14">
        <v>43380</v>
      </c>
      <c r="C354" s="14">
        <f>EOMONTH(tbl_GLSalesDetail[[#This Row],[Date]],-1)+1</f>
        <v>43374</v>
      </c>
      <c r="D354" s="17">
        <v>1002</v>
      </c>
      <c r="E354" t="s">
        <v>146</v>
      </c>
      <c r="F354" t="s">
        <v>147</v>
      </c>
      <c r="G354" t="s">
        <v>171</v>
      </c>
      <c r="H354" t="s">
        <v>134</v>
      </c>
      <c r="I354" t="s">
        <v>135</v>
      </c>
      <c r="J354" s="18">
        <v>11089.1</v>
      </c>
      <c r="K354" t="s">
        <v>104</v>
      </c>
      <c r="L354" t="s">
        <v>172</v>
      </c>
      <c r="M354" t="s">
        <v>173</v>
      </c>
      <c r="N354" t="s">
        <v>174</v>
      </c>
      <c r="O354" t="s">
        <v>175</v>
      </c>
    </row>
    <row r="355" spans="1:15" x14ac:dyDescent="0.45">
      <c r="A355">
        <f t="shared" si="5"/>
        <v>354</v>
      </c>
      <c r="B355" s="14">
        <v>43381</v>
      </c>
      <c r="C355" s="14">
        <f>EOMONTH(tbl_GLSalesDetail[[#This Row],[Date]],-1)+1</f>
        <v>43374</v>
      </c>
      <c r="D355" s="17">
        <v>1001</v>
      </c>
      <c r="E355" t="s">
        <v>136</v>
      </c>
      <c r="F355" t="s">
        <v>106</v>
      </c>
      <c r="G355" t="s">
        <v>137</v>
      </c>
      <c r="H355" t="s">
        <v>127</v>
      </c>
      <c r="I355" t="s">
        <v>128</v>
      </c>
      <c r="J355" s="18">
        <v>10023.200000000001</v>
      </c>
      <c r="K355" t="s">
        <v>145</v>
      </c>
      <c r="L355" t="s">
        <v>138</v>
      </c>
      <c r="M355" t="s">
        <v>139</v>
      </c>
      <c r="N355" t="s">
        <v>140</v>
      </c>
      <c r="O355" t="s">
        <v>141</v>
      </c>
    </row>
    <row r="356" spans="1:15" x14ac:dyDescent="0.45">
      <c r="A356">
        <f t="shared" si="5"/>
        <v>355</v>
      </c>
      <c r="B356" s="14">
        <v>43381</v>
      </c>
      <c r="C356" s="14">
        <f>EOMONTH(tbl_GLSalesDetail[[#This Row],[Date]],-1)+1</f>
        <v>43374</v>
      </c>
      <c r="D356" s="17">
        <v>1001</v>
      </c>
      <c r="E356" t="s">
        <v>146</v>
      </c>
      <c r="F356" t="s">
        <v>147</v>
      </c>
      <c r="G356" t="s">
        <v>148</v>
      </c>
      <c r="H356" t="s">
        <v>95</v>
      </c>
      <c r="I356" t="s">
        <v>96</v>
      </c>
      <c r="J356" s="18">
        <v>23304.875</v>
      </c>
      <c r="K356" t="s">
        <v>97</v>
      </c>
      <c r="L356" t="s">
        <v>150</v>
      </c>
      <c r="M356" t="s">
        <v>151</v>
      </c>
      <c r="N356" t="s">
        <v>152</v>
      </c>
      <c r="O356" t="s">
        <v>153</v>
      </c>
    </row>
    <row r="357" spans="1:15" x14ac:dyDescent="0.45">
      <c r="A357">
        <f t="shared" si="5"/>
        <v>356</v>
      </c>
      <c r="B357" s="14">
        <v>43381</v>
      </c>
      <c r="C357" s="14">
        <f>EOMONTH(tbl_GLSalesDetail[[#This Row],[Date]],-1)+1</f>
        <v>43374</v>
      </c>
      <c r="D357" s="17">
        <v>1002</v>
      </c>
      <c r="E357" t="s">
        <v>116</v>
      </c>
      <c r="F357" t="s">
        <v>117</v>
      </c>
      <c r="G357" t="s">
        <v>118</v>
      </c>
      <c r="H357" t="s">
        <v>142</v>
      </c>
      <c r="I357" t="s">
        <v>149</v>
      </c>
      <c r="J357" s="18">
        <v>11187.275000000001</v>
      </c>
      <c r="K357" t="s">
        <v>104</v>
      </c>
      <c r="L357" t="s">
        <v>121</v>
      </c>
      <c r="M357" t="s">
        <v>122</v>
      </c>
      <c r="N357" t="s">
        <v>123</v>
      </c>
      <c r="O357" t="s">
        <v>124</v>
      </c>
    </row>
    <row r="358" spans="1:15" x14ac:dyDescent="0.45">
      <c r="A358">
        <f t="shared" si="5"/>
        <v>357</v>
      </c>
      <c r="B358" s="14">
        <v>43384</v>
      </c>
      <c r="C358" s="14">
        <f>EOMONTH(tbl_GLSalesDetail[[#This Row],[Date]],-1)+1</f>
        <v>43374</v>
      </c>
      <c r="D358" s="17">
        <v>1001</v>
      </c>
      <c r="E358" t="s">
        <v>105</v>
      </c>
      <c r="F358" t="s">
        <v>106</v>
      </c>
      <c r="G358" t="s">
        <v>107</v>
      </c>
      <c r="H358" t="s">
        <v>114</v>
      </c>
      <c r="I358" t="s">
        <v>115</v>
      </c>
      <c r="J358" s="18">
        <v>13375.175000000001</v>
      </c>
      <c r="K358" t="s">
        <v>97</v>
      </c>
      <c r="L358" t="s">
        <v>110</v>
      </c>
      <c r="M358" t="s">
        <v>111</v>
      </c>
      <c r="N358" t="s">
        <v>112</v>
      </c>
      <c r="O358" t="s">
        <v>113</v>
      </c>
    </row>
    <row r="359" spans="1:15" x14ac:dyDescent="0.45">
      <c r="A359">
        <f t="shared" si="5"/>
        <v>358</v>
      </c>
      <c r="B359" s="14">
        <v>43385</v>
      </c>
      <c r="C359" s="14">
        <f>EOMONTH(tbl_GLSalesDetail[[#This Row],[Date]],-1)+1</f>
        <v>43374</v>
      </c>
      <c r="D359" s="17">
        <v>1002</v>
      </c>
      <c r="E359" t="s">
        <v>155</v>
      </c>
      <c r="F359" t="s">
        <v>117</v>
      </c>
      <c r="G359" t="s">
        <v>156</v>
      </c>
      <c r="H359" t="s">
        <v>127</v>
      </c>
      <c r="I359" t="s">
        <v>128</v>
      </c>
      <c r="J359" s="18">
        <v>13538.800000000001</v>
      </c>
      <c r="K359" t="s">
        <v>104</v>
      </c>
      <c r="L359" t="s">
        <v>158</v>
      </c>
      <c r="M359" t="s">
        <v>159</v>
      </c>
      <c r="N359" t="s">
        <v>140</v>
      </c>
      <c r="O359" t="s">
        <v>141</v>
      </c>
    </row>
    <row r="360" spans="1:15" x14ac:dyDescent="0.45">
      <c r="A360">
        <f t="shared" si="5"/>
        <v>359</v>
      </c>
      <c r="B360" s="14">
        <v>43390</v>
      </c>
      <c r="C360" s="14">
        <f>EOMONTH(tbl_GLSalesDetail[[#This Row],[Date]],-1)+1</f>
        <v>43374</v>
      </c>
      <c r="D360" s="17">
        <v>1001</v>
      </c>
      <c r="E360" t="s">
        <v>105</v>
      </c>
      <c r="F360" t="s">
        <v>106</v>
      </c>
      <c r="G360" t="s">
        <v>107</v>
      </c>
      <c r="H360" t="s">
        <v>108</v>
      </c>
      <c r="I360" t="s">
        <v>109</v>
      </c>
      <c r="J360" s="18">
        <v>28751.25</v>
      </c>
      <c r="K360" t="s">
        <v>97</v>
      </c>
      <c r="L360" t="s">
        <v>110</v>
      </c>
      <c r="M360" t="s">
        <v>111</v>
      </c>
      <c r="N360" t="s">
        <v>112</v>
      </c>
      <c r="O360" t="s">
        <v>113</v>
      </c>
    </row>
    <row r="361" spans="1:15" x14ac:dyDescent="0.45">
      <c r="A361">
        <f t="shared" si="5"/>
        <v>360</v>
      </c>
      <c r="B361" s="14">
        <v>43390</v>
      </c>
      <c r="C361" s="14">
        <f>EOMONTH(tbl_GLSalesDetail[[#This Row],[Date]],-1)+1</f>
        <v>43374</v>
      </c>
      <c r="D361" s="17">
        <v>1001</v>
      </c>
      <c r="E361" t="s">
        <v>125</v>
      </c>
      <c r="F361" t="s">
        <v>93</v>
      </c>
      <c r="G361" t="s">
        <v>126</v>
      </c>
      <c r="H361" t="s">
        <v>142</v>
      </c>
      <c r="I361" t="s">
        <v>154</v>
      </c>
      <c r="J361" s="18">
        <v>31462.75</v>
      </c>
      <c r="K361" t="s">
        <v>97</v>
      </c>
      <c r="L361" t="s">
        <v>129</v>
      </c>
      <c r="M361" t="s">
        <v>130</v>
      </c>
      <c r="N361" t="s">
        <v>131</v>
      </c>
      <c r="O361" t="s">
        <v>132</v>
      </c>
    </row>
    <row r="362" spans="1:15" x14ac:dyDescent="0.45">
      <c r="A362">
        <f t="shared" si="5"/>
        <v>361</v>
      </c>
      <c r="B362" s="14">
        <v>43390</v>
      </c>
      <c r="C362" s="14">
        <f>EOMONTH(tbl_GLSalesDetail[[#This Row],[Date]],-1)+1</f>
        <v>43374</v>
      </c>
      <c r="D362" s="17">
        <v>1002</v>
      </c>
      <c r="E362" t="s">
        <v>105</v>
      </c>
      <c r="F362" t="s">
        <v>106</v>
      </c>
      <c r="G362" t="s">
        <v>107</v>
      </c>
      <c r="H362" t="s">
        <v>134</v>
      </c>
      <c r="I362" t="s">
        <v>135</v>
      </c>
      <c r="J362" s="18">
        <v>24707.375</v>
      </c>
      <c r="K362" t="s">
        <v>104</v>
      </c>
      <c r="L362" t="s">
        <v>110</v>
      </c>
      <c r="M362" t="s">
        <v>111</v>
      </c>
      <c r="N362" t="s">
        <v>112</v>
      </c>
      <c r="O362" t="s">
        <v>113</v>
      </c>
    </row>
    <row r="363" spans="1:15" x14ac:dyDescent="0.45">
      <c r="A363">
        <f t="shared" si="5"/>
        <v>362</v>
      </c>
      <c r="B363" s="14">
        <v>43395</v>
      </c>
      <c r="C363" s="14">
        <f>EOMONTH(tbl_GLSalesDetail[[#This Row],[Date]],-1)+1</f>
        <v>43374</v>
      </c>
      <c r="D363" s="17">
        <v>1001</v>
      </c>
      <c r="E363" t="s">
        <v>146</v>
      </c>
      <c r="F363" t="s">
        <v>147</v>
      </c>
      <c r="G363" t="s">
        <v>148</v>
      </c>
      <c r="H363" t="s">
        <v>114</v>
      </c>
      <c r="I363" t="s">
        <v>115</v>
      </c>
      <c r="J363" s="18">
        <v>37442.075000000004</v>
      </c>
      <c r="K363" t="s">
        <v>145</v>
      </c>
      <c r="L363" t="s">
        <v>150</v>
      </c>
      <c r="M363" t="s">
        <v>151</v>
      </c>
      <c r="N363" t="s">
        <v>152</v>
      </c>
      <c r="O363" t="s">
        <v>153</v>
      </c>
    </row>
    <row r="364" spans="1:15" x14ac:dyDescent="0.45">
      <c r="A364">
        <f t="shared" si="5"/>
        <v>363</v>
      </c>
      <c r="B364" s="14">
        <v>43395</v>
      </c>
      <c r="C364" s="14">
        <f>EOMONTH(tbl_GLSalesDetail[[#This Row],[Date]],-1)+1</f>
        <v>43374</v>
      </c>
      <c r="D364" s="17">
        <v>1001</v>
      </c>
      <c r="E364" t="s">
        <v>92</v>
      </c>
      <c r="F364" t="s">
        <v>93</v>
      </c>
      <c r="G364" t="s">
        <v>94</v>
      </c>
      <c r="H364" t="s">
        <v>205</v>
      </c>
      <c r="I364" t="s">
        <v>206</v>
      </c>
      <c r="J364" s="18">
        <v>2748.9</v>
      </c>
      <c r="K364" t="s">
        <v>97</v>
      </c>
      <c r="L364" t="s">
        <v>98</v>
      </c>
      <c r="M364" t="s">
        <v>99</v>
      </c>
      <c r="N364" t="s">
        <v>100</v>
      </c>
      <c r="O364" t="s">
        <v>101</v>
      </c>
    </row>
    <row r="365" spans="1:15" x14ac:dyDescent="0.45">
      <c r="A365">
        <f t="shared" si="5"/>
        <v>364</v>
      </c>
      <c r="B365" s="14">
        <v>43395</v>
      </c>
      <c r="C365" s="14">
        <f>EOMONTH(tbl_GLSalesDetail[[#This Row],[Date]],-1)+1</f>
        <v>43374</v>
      </c>
      <c r="D365" s="17">
        <v>1001</v>
      </c>
      <c r="E365" t="s">
        <v>136</v>
      </c>
      <c r="F365" t="s">
        <v>106</v>
      </c>
      <c r="G365" t="s">
        <v>162</v>
      </c>
      <c r="H365" t="s">
        <v>163</v>
      </c>
      <c r="I365" t="s">
        <v>185</v>
      </c>
      <c r="J365" s="18">
        <v>28092.075000000001</v>
      </c>
      <c r="K365" t="s">
        <v>97</v>
      </c>
      <c r="L365" t="s">
        <v>165</v>
      </c>
      <c r="M365" t="s">
        <v>166</v>
      </c>
      <c r="N365" t="s">
        <v>167</v>
      </c>
      <c r="O365" t="s">
        <v>168</v>
      </c>
    </row>
    <row r="366" spans="1:15" x14ac:dyDescent="0.45">
      <c r="A366">
        <f t="shared" si="5"/>
        <v>365</v>
      </c>
      <c r="B366" s="14">
        <v>43395</v>
      </c>
      <c r="C366" s="14">
        <f>EOMONTH(tbl_GLSalesDetail[[#This Row],[Date]],-1)+1</f>
        <v>43374</v>
      </c>
      <c r="D366" s="17">
        <v>1001</v>
      </c>
      <c r="E366" t="s">
        <v>125</v>
      </c>
      <c r="F366" t="s">
        <v>93</v>
      </c>
      <c r="G366" t="s">
        <v>126</v>
      </c>
      <c r="H366" t="s">
        <v>102</v>
      </c>
      <c r="I366" t="s">
        <v>161</v>
      </c>
      <c r="J366" s="18">
        <v>21453.575000000001</v>
      </c>
      <c r="K366" t="s">
        <v>97</v>
      </c>
      <c r="L366" t="s">
        <v>129</v>
      </c>
      <c r="M366" t="s">
        <v>130</v>
      </c>
      <c r="N366" t="s">
        <v>131</v>
      </c>
      <c r="O366" t="s">
        <v>132</v>
      </c>
    </row>
    <row r="367" spans="1:15" x14ac:dyDescent="0.45">
      <c r="A367">
        <f t="shared" si="5"/>
        <v>366</v>
      </c>
      <c r="B367" s="14">
        <v>43395</v>
      </c>
      <c r="C367" s="14">
        <f>EOMONTH(tbl_GLSalesDetail[[#This Row],[Date]],-1)+1</f>
        <v>43374</v>
      </c>
      <c r="D367" s="17">
        <v>1002</v>
      </c>
      <c r="E367" t="s">
        <v>125</v>
      </c>
      <c r="F367" t="s">
        <v>93</v>
      </c>
      <c r="G367" t="s">
        <v>126</v>
      </c>
      <c r="H367" t="s">
        <v>142</v>
      </c>
      <c r="I367" t="s">
        <v>157</v>
      </c>
      <c r="J367" s="18">
        <v>38363.050000000003</v>
      </c>
      <c r="K367" t="s">
        <v>104</v>
      </c>
      <c r="L367" t="s">
        <v>129</v>
      </c>
      <c r="M367" t="s">
        <v>130</v>
      </c>
      <c r="N367" t="s">
        <v>131</v>
      </c>
      <c r="O367" t="s">
        <v>132</v>
      </c>
    </row>
    <row r="368" spans="1:15" x14ac:dyDescent="0.45">
      <c r="A368">
        <f t="shared" si="5"/>
        <v>367</v>
      </c>
      <c r="B368" s="14">
        <v>43395</v>
      </c>
      <c r="C368" s="14">
        <f>EOMONTH(tbl_GLSalesDetail[[#This Row],[Date]],-1)+1</f>
        <v>43374</v>
      </c>
      <c r="D368" s="17">
        <v>1002</v>
      </c>
      <c r="E368" t="s">
        <v>92</v>
      </c>
      <c r="F368" t="s">
        <v>93</v>
      </c>
      <c r="G368" t="s">
        <v>94</v>
      </c>
      <c r="H368" t="s">
        <v>163</v>
      </c>
      <c r="I368" t="s">
        <v>185</v>
      </c>
      <c r="J368" s="18">
        <v>45670.075000000004</v>
      </c>
      <c r="K368" t="s">
        <v>104</v>
      </c>
      <c r="L368" t="s">
        <v>98</v>
      </c>
      <c r="M368" t="s">
        <v>99</v>
      </c>
      <c r="N368" t="s">
        <v>100</v>
      </c>
      <c r="O368" t="s">
        <v>101</v>
      </c>
    </row>
    <row r="369" spans="1:15" x14ac:dyDescent="0.45">
      <c r="A369">
        <f t="shared" si="5"/>
        <v>368</v>
      </c>
      <c r="B369" s="14">
        <v>43396</v>
      </c>
      <c r="C369" s="14">
        <f>EOMONTH(tbl_GLSalesDetail[[#This Row],[Date]],-1)+1</f>
        <v>43374</v>
      </c>
      <c r="D369" s="17">
        <v>1001</v>
      </c>
      <c r="E369" t="s">
        <v>125</v>
      </c>
      <c r="F369" t="s">
        <v>93</v>
      </c>
      <c r="G369" t="s">
        <v>126</v>
      </c>
      <c r="H369" t="s">
        <v>102</v>
      </c>
      <c r="I369" t="s">
        <v>161</v>
      </c>
      <c r="J369" s="18">
        <v>28933.575000000001</v>
      </c>
      <c r="K369" t="s">
        <v>97</v>
      </c>
      <c r="L369" t="s">
        <v>129</v>
      </c>
      <c r="M369" t="s">
        <v>130</v>
      </c>
      <c r="N369" t="s">
        <v>131</v>
      </c>
      <c r="O369" t="s">
        <v>132</v>
      </c>
    </row>
    <row r="370" spans="1:15" x14ac:dyDescent="0.45">
      <c r="A370">
        <f t="shared" si="5"/>
        <v>369</v>
      </c>
      <c r="B370" s="14">
        <v>43396</v>
      </c>
      <c r="C370" s="14">
        <f>EOMONTH(tbl_GLSalesDetail[[#This Row],[Date]],-1)+1</f>
        <v>43374</v>
      </c>
      <c r="D370" s="17">
        <v>1002</v>
      </c>
      <c r="E370" t="s">
        <v>125</v>
      </c>
      <c r="F370" t="s">
        <v>93</v>
      </c>
      <c r="G370" t="s">
        <v>126</v>
      </c>
      <c r="H370" t="s">
        <v>134</v>
      </c>
      <c r="I370" t="s">
        <v>135</v>
      </c>
      <c r="J370" s="18">
        <v>2496.4500000000003</v>
      </c>
      <c r="K370" t="s">
        <v>104</v>
      </c>
      <c r="L370" t="s">
        <v>129</v>
      </c>
      <c r="M370" t="s">
        <v>130</v>
      </c>
      <c r="N370" t="s">
        <v>131</v>
      </c>
      <c r="O370" t="s">
        <v>132</v>
      </c>
    </row>
    <row r="371" spans="1:15" x14ac:dyDescent="0.45">
      <c r="A371">
        <f t="shared" si="5"/>
        <v>370</v>
      </c>
      <c r="B371" s="14">
        <v>43398</v>
      </c>
      <c r="C371" s="14">
        <f>EOMONTH(tbl_GLSalesDetail[[#This Row],[Date]],-1)+1</f>
        <v>43374</v>
      </c>
      <c r="D371" s="17">
        <v>1001</v>
      </c>
      <c r="E371" t="s">
        <v>116</v>
      </c>
      <c r="F371" t="s">
        <v>117</v>
      </c>
      <c r="G371" t="s">
        <v>118</v>
      </c>
      <c r="H371" t="s">
        <v>102</v>
      </c>
      <c r="I371" t="s">
        <v>160</v>
      </c>
      <c r="J371" s="18">
        <v>12884.300000000001</v>
      </c>
      <c r="K371" t="s">
        <v>145</v>
      </c>
      <c r="L371" t="s">
        <v>121</v>
      </c>
      <c r="M371" t="s">
        <v>122</v>
      </c>
      <c r="N371" t="s">
        <v>123</v>
      </c>
      <c r="O371" t="s">
        <v>124</v>
      </c>
    </row>
    <row r="372" spans="1:15" x14ac:dyDescent="0.45">
      <c r="A372">
        <f t="shared" si="5"/>
        <v>371</v>
      </c>
      <c r="B372" s="14">
        <v>43398</v>
      </c>
      <c r="C372" s="14">
        <f>EOMONTH(tbl_GLSalesDetail[[#This Row],[Date]],-1)+1</f>
        <v>43374</v>
      </c>
      <c r="D372" s="17">
        <v>1001</v>
      </c>
      <c r="E372" t="s">
        <v>155</v>
      </c>
      <c r="F372" t="s">
        <v>117</v>
      </c>
      <c r="G372" t="s">
        <v>156</v>
      </c>
      <c r="H372" t="s">
        <v>142</v>
      </c>
      <c r="I372" t="s">
        <v>157</v>
      </c>
      <c r="J372" s="18">
        <v>13524.775000000001</v>
      </c>
      <c r="K372" t="s">
        <v>145</v>
      </c>
      <c r="L372" t="s">
        <v>158</v>
      </c>
      <c r="M372" t="s">
        <v>159</v>
      </c>
      <c r="N372" t="s">
        <v>140</v>
      </c>
      <c r="O372" t="s">
        <v>141</v>
      </c>
    </row>
    <row r="373" spans="1:15" x14ac:dyDescent="0.45">
      <c r="A373">
        <f t="shared" si="5"/>
        <v>372</v>
      </c>
      <c r="B373" s="14">
        <v>43398</v>
      </c>
      <c r="C373" s="14">
        <f>EOMONTH(tbl_GLSalesDetail[[#This Row],[Date]],-1)+1</f>
        <v>43374</v>
      </c>
      <c r="D373" s="17">
        <v>1001</v>
      </c>
      <c r="E373" t="s">
        <v>125</v>
      </c>
      <c r="F373" t="s">
        <v>93</v>
      </c>
      <c r="G373" t="s">
        <v>126</v>
      </c>
      <c r="H373" t="s">
        <v>119</v>
      </c>
      <c r="I373" t="s">
        <v>120</v>
      </c>
      <c r="J373" s="18">
        <v>42004.875</v>
      </c>
      <c r="K373" t="s">
        <v>97</v>
      </c>
      <c r="L373" t="s">
        <v>129</v>
      </c>
      <c r="M373" t="s">
        <v>130</v>
      </c>
      <c r="N373" t="s">
        <v>131</v>
      </c>
      <c r="O373" t="s">
        <v>132</v>
      </c>
    </row>
    <row r="374" spans="1:15" x14ac:dyDescent="0.45">
      <c r="A374">
        <f t="shared" si="5"/>
        <v>373</v>
      </c>
      <c r="B374" s="14">
        <v>43398</v>
      </c>
      <c r="C374" s="14">
        <f>EOMONTH(tbl_GLSalesDetail[[#This Row],[Date]],-1)+1</f>
        <v>43374</v>
      </c>
      <c r="D374" s="17">
        <v>1002</v>
      </c>
      <c r="E374" t="s">
        <v>136</v>
      </c>
      <c r="F374" t="s">
        <v>106</v>
      </c>
      <c r="G374" t="s">
        <v>162</v>
      </c>
      <c r="H374" t="s">
        <v>108</v>
      </c>
      <c r="I374" t="s">
        <v>109</v>
      </c>
      <c r="J374" s="18">
        <v>34679.15</v>
      </c>
      <c r="K374" t="s">
        <v>104</v>
      </c>
      <c r="L374" t="s">
        <v>165</v>
      </c>
      <c r="M374" t="s">
        <v>166</v>
      </c>
      <c r="N374" t="s">
        <v>167</v>
      </c>
      <c r="O374" t="s">
        <v>168</v>
      </c>
    </row>
    <row r="375" spans="1:15" x14ac:dyDescent="0.45">
      <c r="A375">
        <f t="shared" si="5"/>
        <v>374</v>
      </c>
      <c r="B375" s="14">
        <v>43398</v>
      </c>
      <c r="C375" s="14">
        <f>EOMONTH(tbl_GLSalesDetail[[#This Row],[Date]],-1)+1</f>
        <v>43374</v>
      </c>
      <c r="D375" s="17">
        <v>1002</v>
      </c>
      <c r="E375" t="s">
        <v>146</v>
      </c>
      <c r="F375" t="s">
        <v>147</v>
      </c>
      <c r="G375" t="s">
        <v>148</v>
      </c>
      <c r="H375" t="s">
        <v>108</v>
      </c>
      <c r="I375" t="s">
        <v>109</v>
      </c>
      <c r="J375" s="18">
        <v>41523.350000000006</v>
      </c>
      <c r="K375" t="s">
        <v>104</v>
      </c>
      <c r="L375" t="s">
        <v>150</v>
      </c>
      <c r="M375" t="s">
        <v>151</v>
      </c>
      <c r="N375" t="s">
        <v>152</v>
      </c>
      <c r="O375" t="s">
        <v>153</v>
      </c>
    </row>
    <row r="376" spans="1:15" x14ac:dyDescent="0.45">
      <c r="A376">
        <f t="shared" si="5"/>
        <v>375</v>
      </c>
      <c r="B376" s="14">
        <v>43402</v>
      </c>
      <c r="C376" s="14">
        <f>EOMONTH(tbl_GLSalesDetail[[#This Row],[Date]],-1)+1</f>
        <v>43374</v>
      </c>
      <c r="D376" s="17">
        <v>1001</v>
      </c>
      <c r="E376" t="s">
        <v>155</v>
      </c>
      <c r="F376" t="s">
        <v>117</v>
      </c>
      <c r="G376" t="s">
        <v>156</v>
      </c>
      <c r="H376" t="s">
        <v>127</v>
      </c>
      <c r="I376" t="s">
        <v>128</v>
      </c>
      <c r="J376" s="18">
        <v>4978.875</v>
      </c>
      <c r="K376" t="s">
        <v>97</v>
      </c>
      <c r="L376" t="s">
        <v>158</v>
      </c>
      <c r="M376" t="s">
        <v>159</v>
      </c>
      <c r="N376" t="s">
        <v>140</v>
      </c>
      <c r="O376" t="s">
        <v>141</v>
      </c>
    </row>
    <row r="377" spans="1:15" x14ac:dyDescent="0.45">
      <c r="A377">
        <f t="shared" si="5"/>
        <v>376</v>
      </c>
      <c r="B377" s="14">
        <v>43403</v>
      </c>
      <c r="C377" s="14">
        <f>EOMONTH(tbl_GLSalesDetail[[#This Row],[Date]],-1)+1</f>
        <v>43374</v>
      </c>
      <c r="D377" s="17">
        <v>1001</v>
      </c>
      <c r="E377" t="s">
        <v>136</v>
      </c>
      <c r="F377" t="s">
        <v>106</v>
      </c>
      <c r="G377" t="s">
        <v>162</v>
      </c>
      <c r="H377" t="s">
        <v>192</v>
      </c>
      <c r="I377" t="s">
        <v>193</v>
      </c>
      <c r="J377" s="18">
        <v>24482.975000000002</v>
      </c>
      <c r="K377" t="s">
        <v>97</v>
      </c>
      <c r="L377" t="s">
        <v>165</v>
      </c>
      <c r="M377" t="s">
        <v>166</v>
      </c>
      <c r="N377" t="s">
        <v>167</v>
      </c>
      <c r="O377" t="s">
        <v>168</v>
      </c>
    </row>
    <row r="378" spans="1:15" x14ac:dyDescent="0.45">
      <c r="A378">
        <f t="shared" si="5"/>
        <v>377</v>
      </c>
      <c r="B378" s="14">
        <v>43403</v>
      </c>
      <c r="C378" s="14">
        <f>EOMONTH(tbl_GLSalesDetail[[#This Row],[Date]],-1)+1</f>
        <v>43374</v>
      </c>
      <c r="D378" s="17">
        <v>1002</v>
      </c>
      <c r="E378" t="s">
        <v>155</v>
      </c>
      <c r="F378" t="s">
        <v>117</v>
      </c>
      <c r="G378" t="s">
        <v>156</v>
      </c>
      <c r="H378" t="s">
        <v>142</v>
      </c>
      <c r="I378" t="s">
        <v>149</v>
      </c>
      <c r="J378" s="18">
        <v>15114.275000000001</v>
      </c>
      <c r="K378" t="s">
        <v>104</v>
      </c>
      <c r="L378" t="s">
        <v>158</v>
      </c>
      <c r="M378" t="s">
        <v>159</v>
      </c>
      <c r="N378" t="s">
        <v>140</v>
      </c>
      <c r="O378" t="s">
        <v>141</v>
      </c>
    </row>
    <row r="379" spans="1:15" x14ac:dyDescent="0.45">
      <c r="A379">
        <f t="shared" si="5"/>
        <v>378</v>
      </c>
      <c r="B379" s="14">
        <v>43407</v>
      </c>
      <c r="C379" s="14">
        <f>EOMONTH(tbl_GLSalesDetail[[#This Row],[Date]],-1)+1</f>
        <v>43405</v>
      </c>
      <c r="D379" s="17">
        <v>1001</v>
      </c>
      <c r="E379" t="s">
        <v>92</v>
      </c>
      <c r="F379" t="s">
        <v>93</v>
      </c>
      <c r="G379" t="s">
        <v>94</v>
      </c>
      <c r="H379" t="s">
        <v>142</v>
      </c>
      <c r="I379" t="s">
        <v>143</v>
      </c>
      <c r="J379" s="18">
        <v>29807.800000000003</v>
      </c>
      <c r="K379" t="s">
        <v>97</v>
      </c>
      <c r="L379" t="s">
        <v>98</v>
      </c>
      <c r="M379" t="s">
        <v>99</v>
      </c>
      <c r="N379" t="s">
        <v>100</v>
      </c>
      <c r="O379" t="s">
        <v>101</v>
      </c>
    </row>
    <row r="380" spans="1:15" x14ac:dyDescent="0.45">
      <c r="A380">
        <f t="shared" si="5"/>
        <v>379</v>
      </c>
      <c r="B380" s="14">
        <v>43408</v>
      </c>
      <c r="C380" s="14">
        <f>EOMONTH(tbl_GLSalesDetail[[#This Row],[Date]],-1)+1</f>
        <v>43405</v>
      </c>
      <c r="D380" s="17">
        <v>1001</v>
      </c>
      <c r="E380" t="s">
        <v>105</v>
      </c>
      <c r="F380" t="s">
        <v>106</v>
      </c>
      <c r="G380" t="s">
        <v>107</v>
      </c>
      <c r="H380" t="s">
        <v>176</v>
      </c>
      <c r="I380" t="s">
        <v>177</v>
      </c>
      <c r="J380" s="18">
        <v>30410.875</v>
      </c>
      <c r="K380" t="s">
        <v>97</v>
      </c>
      <c r="L380" t="s">
        <v>110</v>
      </c>
      <c r="M380" t="s">
        <v>111</v>
      </c>
      <c r="N380" t="s">
        <v>112</v>
      </c>
      <c r="O380" t="s">
        <v>113</v>
      </c>
    </row>
    <row r="381" spans="1:15" x14ac:dyDescent="0.45">
      <c r="A381">
        <f t="shared" si="5"/>
        <v>380</v>
      </c>
      <c r="B381" s="14">
        <v>43414</v>
      </c>
      <c r="C381" s="14">
        <f>EOMONTH(tbl_GLSalesDetail[[#This Row],[Date]],-1)+1</f>
        <v>43405</v>
      </c>
      <c r="D381" s="17">
        <v>1001</v>
      </c>
      <c r="E381" t="s">
        <v>125</v>
      </c>
      <c r="F381" t="s">
        <v>93</v>
      </c>
      <c r="G381" t="s">
        <v>126</v>
      </c>
      <c r="H381" t="s">
        <v>102</v>
      </c>
      <c r="I381" t="s">
        <v>161</v>
      </c>
      <c r="J381" s="18">
        <v>18798.174999999999</v>
      </c>
      <c r="K381" t="s">
        <v>97</v>
      </c>
      <c r="L381" t="s">
        <v>129</v>
      </c>
      <c r="M381" t="s">
        <v>130</v>
      </c>
      <c r="N381" t="s">
        <v>131</v>
      </c>
      <c r="O381" t="s">
        <v>132</v>
      </c>
    </row>
    <row r="382" spans="1:15" x14ac:dyDescent="0.45">
      <c r="A382">
        <f t="shared" si="5"/>
        <v>381</v>
      </c>
      <c r="B382" s="14">
        <v>43418</v>
      </c>
      <c r="C382" s="14">
        <f>EOMONTH(tbl_GLSalesDetail[[#This Row],[Date]],-1)+1</f>
        <v>43405</v>
      </c>
      <c r="D382" s="17">
        <v>1002</v>
      </c>
      <c r="E382" t="s">
        <v>155</v>
      </c>
      <c r="F382" t="s">
        <v>117</v>
      </c>
      <c r="G382" t="s">
        <v>156</v>
      </c>
      <c r="H382" t="s">
        <v>102</v>
      </c>
      <c r="I382" t="s">
        <v>160</v>
      </c>
      <c r="J382" s="18">
        <v>15329.325000000001</v>
      </c>
      <c r="K382" t="s">
        <v>104</v>
      </c>
      <c r="L382" t="s">
        <v>158</v>
      </c>
      <c r="M382" t="s">
        <v>159</v>
      </c>
      <c r="N382" t="s">
        <v>140</v>
      </c>
      <c r="O382" t="s">
        <v>141</v>
      </c>
    </row>
    <row r="383" spans="1:15" x14ac:dyDescent="0.45">
      <c r="A383">
        <f t="shared" si="5"/>
        <v>382</v>
      </c>
      <c r="B383" s="14">
        <v>43418</v>
      </c>
      <c r="C383" s="14">
        <f>EOMONTH(tbl_GLSalesDetail[[#This Row],[Date]],-1)+1</f>
        <v>43405</v>
      </c>
      <c r="D383" s="17">
        <v>1002</v>
      </c>
      <c r="E383" t="s">
        <v>155</v>
      </c>
      <c r="F383" t="s">
        <v>117</v>
      </c>
      <c r="G383" t="s">
        <v>156</v>
      </c>
      <c r="H383" t="s">
        <v>163</v>
      </c>
      <c r="I383" t="s">
        <v>185</v>
      </c>
      <c r="J383" s="18">
        <v>19218.925000000003</v>
      </c>
      <c r="K383" t="s">
        <v>104</v>
      </c>
      <c r="L383" t="s">
        <v>158</v>
      </c>
      <c r="M383" t="s">
        <v>159</v>
      </c>
      <c r="N383" t="s">
        <v>140</v>
      </c>
      <c r="O383" t="s">
        <v>141</v>
      </c>
    </row>
    <row r="384" spans="1:15" x14ac:dyDescent="0.45">
      <c r="A384">
        <f t="shared" si="5"/>
        <v>383</v>
      </c>
      <c r="B384" s="14">
        <v>43419</v>
      </c>
      <c r="C384" s="14">
        <f>EOMONTH(tbl_GLSalesDetail[[#This Row],[Date]],-1)+1</f>
        <v>43405</v>
      </c>
      <c r="D384" s="17">
        <v>1002</v>
      </c>
      <c r="E384" t="s">
        <v>92</v>
      </c>
      <c r="F384" t="s">
        <v>93</v>
      </c>
      <c r="G384" t="s">
        <v>94</v>
      </c>
      <c r="H384" t="s">
        <v>119</v>
      </c>
      <c r="I384" t="s">
        <v>120</v>
      </c>
      <c r="J384" s="18">
        <v>40579</v>
      </c>
      <c r="K384" t="s">
        <v>104</v>
      </c>
      <c r="L384" t="s">
        <v>98</v>
      </c>
      <c r="M384" t="s">
        <v>99</v>
      </c>
      <c r="N384" t="s">
        <v>100</v>
      </c>
      <c r="O384" t="s">
        <v>101</v>
      </c>
    </row>
    <row r="385" spans="1:15" x14ac:dyDescent="0.45">
      <c r="A385">
        <f t="shared" si="5"/>
        <v>384</v>
      </c>
      <c r="B385" s="14">
        <v>43421</v>
      </c>
      <c r="C385" s="14">
        <f>EOMONTH(tbl_GLSalesDetail[[#This Row],[Date]],-1)+1</f>
        <v>43405</v>
      </c>
      <c r="D385" s="17">
        <v>1001</v>
      </c>
      <c r="E385" t="s">
        <v>116</v>
      </c>
      <c r="F385" t="s">
        <v>117</v>
      </c>
      <c r="G385" t="s">
        <v>118</v>
      </c>
      <c r="H385" t="s">
        <v>127</v>
      </c>
      <c r="I385" t="s">
        <v>128</v>
      </c>
      <c r="J385" s="18">
        <v>33080.300000000003</v>
      </c>
      <c r="K385" t="s">
        <v>97</v>
      </c>
      <c r="L385" t="s">
        <v>121</v>
      </c>
      <c r="M385" t="s">
        <v>122</v>
      </c>
      <c r="N385" t="s">
        <v>123</v>
      </c>
      <c r="O385" t="s">
        <v>124</v>
      </c>
    </row>
    <row r="386" spans="1:15" x14ac:dyDescent="0.45">
      <c r="A386">
        <f t="shared" ref="A386:A439" si="6">ROW()-1</f>
        <v>385</v>
      </c>
      <c r="B386" s="14">
        <v>43427</v>
      </c>
      <c r="C386" s="14">
        <f>EOMONTH(tbl_GLSalesDetail[[#This Row],[Date]],-1)+1</f>
        <v>43405</v>
      </c>
      <c r="D386" s="17">
        <v>1001</v>
      </c>
      <c r="E386" t="s">
        <v>155</v>
      </c>
      <c r="F386" t="s">
        <v>117</v>
      </c>
      <c r="G386" t="s">
        <v>156</v>
      </c>
      <c r="H386" t="s">
        <v>176</v>
      </c>
      <c r="I386" t="s">
        <v>177</v>
      </c>
      <c r="J386" s="18">
        <v>79.475000000000009</v>
      </c>
      <c r="K386" t="s">
        <v>97</v>
      </c>
      <c r="L386" t="s">
        <v>158</v>
      </c>
      <c r="M386" t="s">
        <v>159</v>
      </c>
      <c r="N386" t="s">
        <v>140</v>
      </c>
      <c r="O386" t="s">
        <v>141</v>
      </c>
    </row>
    <row r="387" spans="1:15" x14ac:dyDescent="0.45">
      <c r="A387">
        <f t="shared" si="6"/>
        <v>386</v>
      </c>
      <c r="B387" s="14">
        <v>43428</v>
      </c>
      <c r="C387" s="14">
        <f>EOMONTH(tbl_GLSalesDetail[[#This Row],[Date]],-1)+1</f>
        <v>43405</v>
      </c>
      <c r="D387" s="17">
        <v>1001</v>
      </c>
      <c r="E387" t="s">
        <v>136</v>
      </c>
      <c r="F387" t="s">
        <v>106</v>
      </c>
      <c r="G387" t="s">
        <v>162</v>
      </c>
      <c r="H387" t="s">
        <v>205</v>
      </c>
      <c r="I387" t="s">
        <v>206</v>
      </c>
      <c r="J387" s="18">
        <v>22589.600000000002</v>
      </c>
      <c r="K387" t="s">
        <v>145</v>
      </c>
      <c r="L387" t="s">
        <v>165</v>
      </c>
      <c r="M387" t="s">
        <v>166</v>
      </c>
      <c r="N387" t="s">
        <v>167</v>
      </c>
      <c r="O387" t="s">
        <v>168</v>
      </c>
    </row>
    <row r="388" spans="1:15" x14ac:dyDescent="0.45">
      <c r="A388">
        <f t="shared" si="6"/>
        <v>387</v>
      </c>
      <c r="B388" s="14">
        <v>43428</v>
      </c>
      <c r="C388" s="14">
        <f>EOMONTH(tbl_GLSalesDetail[[#This Row],[Date]],-1)+1</f>
        <v>43405</v>
      </c>
      <c r="D388" s="17">
        <v>1001</v>
      </c>
      <c r="E388" t="s">
        <v>116</v>
      </c>
      <c r="F388" t="s">
        <v>117</v>
      </c>
      <c r="G388" t="s">
        <v>118</v>
      </c>
      <c r="H388" t="s">
        <v>169</v>
      </c>
      <c r="I388" t="s">
        <v>170</v>
      </c>
      <c r="J388" s="18">
        <v>28269.725000000002</v>
      </c>
      <c r="K388" t="s">
        <v>145</v>
      </c>
      <c r="L388" t="s">
        <v>121</v>
      </c>
      <c r="M388" t="s">
        <v>122</v>
      </c>
      <c r="N388" t="s">
        <v>123</v>
      </c>
      <c r="O388" t="s">
        <v>124</v>
      </c>
    </row>
    <row r="389" spans="1:15" x14ac:dyDescent="0.45">
      <c r="A389">
        <f t="shared" si="6"/>
        <v>388</v>
      </c>
      <c r="B389" s="14">
        <v>43428</v>
      </c>
      <c r="C389" s="14">
        <f>EOMONTH(tbl_GLSalesDetail[[#This Row],[Date]],-1)+1</f>
        <v>43405</v>
      </c>
      <c r="D389" s="17">
        <v>1001</v>
      </c>
      <c r="E389" t="s">
        <v>136</v>
      </c>
      <c r="F389" t="s">
        <v>106</v>
      </c>
      <c r="G389" t="s">
        <v>137</v>
      </c>
      <c r="H389" t="s">
        <v>102</v>
      </c>
      <c r="I389" t="s">
        <v>161</v>
      </c>
      <c r="J389" s="18">
        <v>37488.825000000004</v>
      </c>
      <c r="K389" t="s">
        <v>145</v>
      </c>
      <c r="L389" t="s">
        <v>138</v>
      </c>
      <c r="M389" t="s">
        <v>139</v>
      </c>
      <c r="N389" t="s">
        <v>140</v>
      </c>
      <c r="O389" t="s">
        <v>141</v>
      </c>
    </row>
    <row r="390" spans="1:15" x14ac:dyDescent="0.45">
      <c r="A390">
        <f t="shared" si="6"/>
        <v>389</v>
      </c>
      <c r="B390" s="14">
        <v>43428</v>
      </c>
      <c r="C390" s="14">
        <f>EOMONTH(tbl_GLSalesDetail[[#This Row],[Date]],-1)+1</f>
        <v>43405</v>
      </c>
      <c r="D390" s="17">
        <v>1001</v>
      </c>
      <c r="E390" t="s">
        <v>125</v>
      </c>
      <c r="F390" t="s">
        <v>93</v>
      </c>
      <c r="G390" t="s">
        <v>126</v>
      </c>
      <c r="H390" t="s">
        <v>102</v>
      </c>
      <c r="I390" t="s">
        <v>161</v>
      </c>
      <c r="J390" s="18">
        <v>29681.575000000001</v>
      </c>
      <c r="K390" t="s">
        <v>145</v>
      </c>
      <c r="L390" t="s">
        <v>129</v>
      </c>
      <c r="M390" t="s">
        <v>130</v>
      </c>
      <c r="N390" t="s">
        <v>131</v>
      </c>
      <c r="O390" t="s">
        <v>132</v>
      </c>
    </row>
    <row r="391" spans="1:15" x14ac:dyDescent="0.45">
      <c r="A391">
        <f t="shared" si="6"/>
        <v>390</v>
      </c>
      <c r="B391" s="14">
        <v>43428</v>
      </c>
      <c r="C391" s="14">
        <f>EOMONTH(tbl_GLSalesDetail[[#This Row],[Date]],-1)+1</f>
        <v>43405</v>
      </c>
      <c r="D391" s="17">
        <v>1001</v>
      </c>
      <c r="E391" t="s">
        <v>116</v>
      </c>
      <c r="F391" t="s">
        <v>117</v>
      </c>
      <c r="G391" t="s">
        <v>118</v>
      </c>
      <c r="H391" t="s">
        <v>119</v>
      </c>
      <c r="I391" t="s">
        <v>133</v>
      </c>
      <c r="J391" s="18">
        <v>42458.350000000006</v>
      </c>
      <c r="K391" t="s">
        <v>97</v>
      </c>
      <c r="L391" t="s">
        <v>121</v>
      </c>
      <c r="M391" t="s">
        <v>122</v>
      </c>
      <c r="N391" t="s">
        <v>123</v>
      </c>
      <c r="O391" t="s">
        <v>124</v>
      </c>
    </row>
    <row r="392" spans="1:15" x14ac:dyDescent="0.45">
      <c r="A392">
        <f t="shared" si="6"/>
        <v>391</v>
      </c>
      <c r="B392" s="14">
        <v>43428</v>
      </c>
      <c r="C392" s="14">
        <f>EOMONTH(tbl_GLSalesDetail[[#This Row],[Date]],-1)+1</f>
        <v>43405</v>
      </c>
      <c r="D392" s="17">
        <v>1001</v>
      </c>
      <c r="E392" t="s">
        <v>116</v>
      </c>
      <c r="F392" t="s">
        <v>117</v>
      </c>
      <c r="G392" t="s">
        <v>118</v>
      </c>
      <c r="H392" t="s">
        <v>119</v>
      </c>
      <c r="I392" t="s">
        <v>133</v>
      </c>
      <c r="J392" s="18">
        <v>27185.125</v>
      </c>
      <c r="K392" t="s">
        <v>97</v>
      </c>
      <c r="L392" t="s">
        <v>121</v>
      </c>
      <c r="M392" t="s">
        <v>122</v>
      </c>
      <c r="N392" t="s">
        <v>123</v>
      </c>
      <c r="O392" t="s">
        <v>124</v>
      </c>
    </row>
    <row r="393" spans="1:15" x14ac:dyDescent="0.45">
      <c r="A393">
        <f t="shared" si="6"/>
        <v>392</v>
      </c>
      <c r="B393" s="14">
        <v>43428</v>
      </c>
      <c r="C393" s="14">
        <f>EOMONTH(tbl_GLSalesDetail[[#This Row],[Date]],-1)+1</f>
        <v>43405</v>
      </c>
      <c r="D393" s="17">
        <v>1001</v>
      </c>
      <c r="E393" t="s">
        <v>146</v>
      </c>
      <c r="F393" t="s">
        <v>147</v>
      </c>
      <c r="G393" t="s">
        <v>180</v>
      </c>
      <c r="H393" t="s">
        <v>178</v>
      </c>
      <c r="I393" t="s">
        <v>179</v>
      </c>
      <c r="J393" s="18">
        <v>24529.725000000002</v>
      </c>
      <c r="K393" t="s">
        <v>97</v>
      </c>
      <c r="L393" t="s">
        <v>181</v>
      </c>
      <c r="M393" t="s">
        <v>182</v>
      </c>
      <c r="N393" t="s">
        <v>183</v>
      </c>
      <c r="O393" t="s">
        <v>184</v>
      </c>
    </row>
    <row r="394" spans="1:15" x14ac:dyDescent="0.45">
      <c r="A394">
        <f t="shared" si="6"/>
        <v>393</v>
      </c>
      <c r="B394" s="14">
        <v>43428</v>
      </c>
      <c r="C394" s="14">
        <f>EOMONTH(tbl_GLSalesDetail[[#This Row],[Date]],-1)+1</f>
        <v>43405</v>
      </c>
      <c r="D394" s="17">
        <v>1001</v>
      </c>
      <c r="E394" t="s">
        <v>105</v>
      </c>
      <c r="F394" t="s">
        <v>106</v>
      </c>
      <c r="G394" t="s">
        <v>107</v>
      </c>
      <c r="H394" t="s">
        <v>176</v>
      </c>
      <c r="I394" t="s">
        <v>177</v>
      </c>
      <c r="J394" s="18">
        <v>34422.025000000001</v>
      </c>
      <c r="K394" t="s">
        <v>97</v>
      </c>
      <c r="L394" t="s">
        <v>110</v>
      </c>
      <c r="M394" t="s">
        <v>111</v>
      </c>
      <c r="N394" t="s">
        <v>112</v>
      </c>
      <c r="O394" t="s">
        <v>113</v>
      </c>
    </row>
    <row r="395" spans="1:15" x14ac:dyDescent="0.45">
      <c r="A395">
        <f t="shared" si="6"/>
        <v>394</v>
      </c>
      <c r="B395" s="14">
        <v>43428</v>
      </c>
      <c r="C395" s="14">
        <f>EOMONTH(tbl_GLSalesDetail[[#This Row],[Date]],-1)+1</f>
        <v>43405</v>
      </c>
      <c r="D395" s="17">
        <v>1001</v>
      </c>
      <c r="E395" t="s">
        <v>146</v>
      </c>
      <c r="F395" t="s">
        <v>147</v>
      </c>
      <c r="G395" t="s">
        <v>180</v>
      </c>
      <c r="H395" t="s">
        <v>169</v>
      </c>
      <c r="I395" t="s">
        <v>170</v>
      </c>
      <c r="J395" s="18">
        <v>2000.9</v>
      </c>
      <c r="K395" t="s">
        <v>97</v>
      </c>
      <c r="L395" t="s">
        <v>181</v>
      </c>
      <c r="M395" t="s">
        <v>182</v>
      </c>
      <c r="N395" t="s">
        <v>183</v>
      </c>
      <c r="O395" t="s">
        <v>184</v>
      </c>
    </row>
    <row r="396" spans="1:15" x14ac:dyDescent="0.45">
      <c r="A396">
        <f t="shared" si="6"/>
        <v>395</v>
      </c>
      <c r="B396" s="14">
        <v>43428</v>
      </c>
      <c r="C396" s="14">
        <f>EOMONTH(tbl_GLSalesDetail[[#This Row],[Date]],-1)+1</f>
        <v>43405</v>
      </c>
      <c r="D396" s="17">
        <v>1001</v>
      </c>
      <c r="E396" t="s">
        <v>155</v>
      </c>
      <c r="F396" t="s">
        <v>117</v>
      </c>
      <c r="G396" t="s">
        <v>156</v>
      </c>
      <c r="H396" t="s">
        <v>169</v>
      </c>
      <c r="I396" t="s">
        <v>186</v>
      </c>
      <c r="J396" s="18">
        <v>2847.0750000000003</v>
      </c>
      <c r="K396" t="s">
        <v>97</v>
      </c>
      <c r="L396" t="s">
        <v>158</v>
      </c>
      <c r="M396" t="s">
        <v>159</v>
      </c>
      <c r="N396" t="s">
        <v>140</v>
      </c>
      <c r="O396" t="s">
        <v>141</v>
      </c>
    </row>
    <row r="397" spans="1:15" x14ac:dyDescent="0.45">
      <c r="A397">
        <f t="shared" si="6"/>
        <v>396</v>
      </c>
      <c r="B397" s="14">
        <v>43428</v>
      </c>
      <c r="C397" s="14">
        <f>EOMONTH(tbl_GLSalesDetail[[#This Row],[Date]],-1)+1</f>
        <v>43405</v>
      </c>
      <c r="D397" s="17">
        <v>1001</v>
      </c>
      <c r="E397" t="s">
        <v>105</v>
      </c>
      <c r="F397" t="s">
        <v>106</v>
      </c>
      <c r="G397" t="s">
        <v>107</v>
      </c>
      <c r="H397" t="s">
        <v>119</v>
      </c>
      <c r="I397" t="s">
        <v>120</v>
      </c>
      <c r="J397" s="18">
        <v>14146.550000000001</v>
      </c>
      <c r="K397" t="s">
        <v>97</v>
      </c>
      <c r="L397" t="s">
        <v>110</v>
      </c>
      <c r="M397" t="s">
        <v>111</v>
      </c>
      <c r="N397" t="s">
        <v>112</v>
      </c>
      <c r="O397" t="s">
        <v>113</v>
      </c>
    </row>
    <row r="398" spans="1:15" x14ac:dyDescent="0.45">
      <c r="A398">
        <f t="shared" si="6"/>
        <v>397</v>
      </c>
      <c r="B398" s="14">
        <v>43428</v>
      </c>
      <c r="C398" s="14">
        <f>EOMONTH(tbl_GLSalesDetail[[#This Row],[Date]],-1)+1</f>
        <v>43405</v>
      </c>
      <c r="D398" s="17">
        <v>1001</v>
      </c>
      <c r="E398" t="s">
        <v>92</v>
      </c>
      <c r="F398" t="s">
        <v>93</v>
      </c>
      <c r="G398" t="s">
        <v>94</v>
      </c>
      <c r="H398" t="s">
        <v>176</v>
      </c>
      <c r="I398" t="s">
        <v>177</v>
      </c>
      <c r="J398" s="18">
        <v>26072.475000000002</v>
      </c>
      <c r="K398" t="s">
        <v>97</v>
      </c>
      <c r="L398" t="s">
        <v>98</v>
      </c>
      <c r="M398" t="s">
        <v>99</v>
      </c>
      <c r="N398" t="s">
        <v>100</v>
      </c>
      <c r="O398" t="s">
        <v>101</v>
      </c>
    </row>
    <row r="399" spans="1:15" x14ac:dyDescent="0.45">
      <c r="A399">
        <f t="shared" si="6"/>
        <v>398</v>
      </c>
      <c r="B399" s="14">
        <v>43428</v>
      </c>
      <c r="C399" s="14">
        <f>EOMONTH(tbl_GLSalesDetail[[#This Row],[Date]],-1)+1</f>
        <v>43405</v>
      </c>
      <c r="D399" s="17">
        <v>1001</v>
      </c>
      <c r="E399" t="s">
        <v>146</v>
      </c>
      <c r="F399" t="s">
        <v>147</v>
      </c>
      <c r="G399" t="s">
        <v>148</v>
      </c>
      <c r="H399" t="s">
        <v>178</v>
      </c>
      <c r="I399" t="s">
        <v>179</v>
      </c>
      <c r="J399" s="18">
        <v>5857.7750000000005</v>
      </c>
      <c r="K399" t="s">
        <v>97</v>
      </c>
      <c r="L399" t="s">
        <v>150</v>
      </c>
      <c r="M399" t="s">
        <v>151</v>
      </c>
      <c r="N399" t="s">
        <v>152</v>
      </c>
      <c r="O399" t="s">
        <v>153</v>
      </c>
    </row>
    <row r="400" spans="1:15" x14ac:dyDescent="0.45">
      <c r="A400">
        <f t="shared" si="6"/>
        <v>399</v>
      </c>
      <c r="B400" s="14">
        <v>43428</v>
      </c>
      <c r="C400" s="14">
        <f>EOMONTH(tbl_GLSalesDetail[[#This Row],[Date]],-1)+1</f>
        <v>43405</v>
      </c>
      <c r="D400" s="17">
        <v>1001</v>
      </c>
      <c r="E400" t="s">
        <v>155</v>
      </c>
      <c r="F400" t="s">
        <v>117</v>
      </c>
      <c r="G400" t="s">
        <v>156</v>
      </c>
      <c r="H400" t="s">
        <v>119</v>
      </c>
      <c r="I400" t="s">
        <v>133</v>
      </c>
      <c r="J400" s="18">
        <v>32739.025000000001</v>
      </c>
      <c r="K400" t="s">
        <v>97</v>
      </c>
      <c r="L400" t="s">
        <v>158</v>
      </c>
      <c r="M400" t="s">
        <v>159</v>
      </c>
      <c r="N400" t="s">
        <v>140</v>
      </c>
      <c r="O400" t="s">
        <v>141</v>
      </c>
    </row>
    <row r="401" spans="1:15" x14ac:dyDescent="0.45">
      <c r="A401">
        <f t="shared" si="6"/>
        <v>400</v>
      </c>
      <c r="B401" s="14">
        <v>43428</v>
      </c>
      <c r="C401" s="14">
        <f>EOMONTH(tbl_GLSalesDetail[[#This Row],[Date]],-1)+1</f>
        <v>43405</v>
      </c>
      <c r="D401" s="17">
        <v>1002</v>
      </c>
      <c r="E401" t="s">
        <v>136</v>
      </c>
      <c r="F401" t="s">
        <v>106</v>
      </c>
      <c r="G401" t="s">
        <v>162</v>
      </c>
      <c r="H401" t="s">
        <v>127</v>
      </c>
      <c r="I401" t="s">
        <v>128</v>
      </c>
      <c r="J401" s="18">
        <v>1706.375</v>
      </c>
      <c r="K401" t="s">
        <v>104</v>
      </c>
      <c r="L401" t="s">
        <v>165</v>
      </c>
      <c r="M401" t="s">
        <v>166</v>
      </c>
      <c r="N401" t="s">
        <v>167</v>
      </c>
      <c r="O401" t="s">
        <v>168</v>
      </c>
    </row>
    <row r="402" spans="1:15" x14ac:dyDescent="0.45">
      <c r="A402">
        <f t="shared" si="6"/>
        <v>401</v>
      </c>
      <c r="B402" s="14">
        <v>43434</v>
      </c>
      <c r="C402" s="14">
        <f>EOMONTH(tbl_GLSalesDetail[[#This Row],[Date]],-1)+1</f>
        <v>43405</v>
      </c>
      <c r="D402" s="17">
        <v>1001</v>
      </c>
      <c r="E402" t="s">
        <v>125</v>
      </c>
      <c r="F402" t="s">
        <v>93</v>
      </c>
      <c r="G402" t="s">
        <v>126</v>
      </c>
      <c r="H402" t="s">
        <v>102</v>
      </c>
      <c r="I402" t="s">
        <v>161</v>
      </c>
      <c r="J402" s="18">
        <v>23875.225000000002</v>
      </c>
      <c r="K402" t="s">
        <v>97</v>
      </c>
      <c r="L402" t="s">
        <v>129</v>
      </c>
      <c r="M402" t="s">
        <v>130</v>
      </c>
      <c r="N402" t="s">
        <v>131</v>
      </c>
      <c r="O402" t="s">
        <v>132</v>
      </c>
    </row>
    <row r="403" spans="1:15" x14ac:dyDescent="0.45">
      <c r="A403">
        <f t="shared" si="6"/>
        <v>402</v>
      </c>
      <c r="B403" s="14">
        <v>43434</v>
      </c>
      <c r="C403" s="14">
        <f>EOMONTH(tbl_GLSalesDetail[[#This Row],[Date]],-1)+1</f>
        <v>43405</v>
      </c>
      <c r="D403" s="17">
        <v>1002</v>
      </c>
      <c r="E403" t="s">
        <v>125</v>
      </c>
      <c r="F403" t="s">
        <v>93</v>
      </c>
      <c r="G403" t="s">
        <v>126</v>
      </c>
      <c r="H403" t="s">
        <v>142</v>
      </c>
      <c r="I403" t="s">
        <v>154</v>
      </c>
      <c r="J403" s="18">
        <v>3637.15</v>
      </c>
      <c r="K403" t="s">
        <v>104</v>
      </c>
      <c r="L403" t="s">
        <v>129</v>
      </c>
      <c r="M403" t="s">
        <v>130</v>
      </c>
      <c r="N403" t="s">
        <v>131</v>
      </c>
      <c r="O403" t="s">
        <v>132</v>
      </c>
    </row>
    <row r="404" spans="1:15" x14ac:dyDescent="0.45">
      <c r="A404">
        <f t="shared" si="6"/>
        <v>403</v>
      </c>
      <c r="B404" s="14">
        <v>43439</v>
      </c>
      <c r="C404" s="14">
        <f>EOMONTH(tbl_GLSalesDetail[[#This Row],[Date]],-1)+1</f>
        <v>43435</v>
      </c>
      <c r="D404" s="17">
        <v>1001</v>
      </c>
      <c r="E404" t="s">
        <v>136</v>
      </c>
      <c r="F404" t="s">
        <v>106</v>
      </c>
      <c r="G404" t="s">
        <v>162</v>
      </c>
      <c r="H404" t="s">
        <v>142</v>
      </c>
      <c r="I404" t="s">
        <v>154</v>
      </c>
      <c r="J404" s="18">
        <v>25969.625</v>
      </c>
      <c r="K404" t="s">
        <v>145</v>
      </c>
      <c r="L404" t="s">
        <v>165</v>
      </c>
      <c r="M404" t="s">
        <v>166</v>
      </c>
      <c r="N404" t="s">
        <v>167</v>
      </c>
      <c r="O404" t="s">
        <v>168</v>
      </c>
    </row>
    <row r="405" spans="1:15" x14ac:dyDescent="0.45">
      <c r="A405">
        <f t="shared" si="6"/>
        <v>404</v>
      </c>
      <c r="B405" s="14">
        <v>43439</v>
      </c>
      <c r="C405" s="14">
        <f>EOMONTH(tbl_GLSalesDetail[[#This Row],[Date]],-1)+1</f>
        <v>43435</v>
      </c>
      <c r="D405" s="17">
        <v>1001</v>
      </c>
      <c r="E405" t="s">
        <v>146</v>
      </c>
      <c r="F405" t="s">
        <v>147</v>
      </c>
      <c r="G405" t="s">
        <v>148</v>
      </c>
      <c r="H405" t="s">
        <v>108</v>
      </c>
      <c r="I405" t="s">
        <v>109</v>
      </c>
      <c r="J405" s="18">
        <v>24833.600000000002</v>
      </c>
      <c r="K405" t="s">
        <v>145</v>
      </c>
      <c r="L405" t="s">
        <v>150</v>
      </c>
      <c r="M405" t="s">
        <v>151</v>
      </c>
      <c r="N405" t="s">
        <v>152</v>
      </c>
      <c r="O405" t="s">
        <v>153</v>
      </c>
    </row>
    <row r="406" spans="1:15" x14ac:dyDescent="0.45">
      <c r="A406">
        <f t="shared" si="6"/>
        <v>405</v>
      </c>
      <c r="B406" s="14">
        <v>43439</v>
      </c>
      <c r="C406" s="14">
        <f>EOMONTH(tbl_GLSalesDetail[[#This Row],[Date]],-1)+1</f>
        <v>43435</v>
      </c>
      <c r="D406" s="17">
        <v>1001</v>
      </c>
      <c r="E406" t="s">
        <v>116</v>
      </c>
      <c r="F406" t="s">
        <v>117</v>
      </c>
      <c r="G406" t="s">
        <v>118</v>
      </c>
      <c r="H406" t="s">
        <v>102</v>
      </c>
      <c r="I406" t="s">
        <v>160</v>
      </c>
      <c r="J406" s="18">
        <v>8307.4750000000004</v>
      </c>
      <c r="K406" t="s">
        <v>145</v>
      </c>
      <c r="L406" t="s">
        <v>121</v>
      </c>
      <c r="M406" t="s">
        <v>122</v>
      </c>
      <c r="N406" t="s">
        <v>123</v>
      </c>
      <c r="O406" t="s">
        <v>124</v>
      </c>
    </row>
    <row r="407" spans="1:15" x14ac:dyDescent="0.45">
      <c r="A407">
        <f t="shared" si="6"/>
        <v>406</v>
      </c>
      <c r="B407" s="14">
        <v>43439</v>
      </c>
      <c r="C407" s="14">
        <f>EOMONTH(tbl_GLSalesDetail[[#This Row],[Date]],-1)+1</f>
        <v>43435</v>
      </c>
      <c r="D407" s="17">
        <v>1001</v>
      </c>
      <c r="E407" t="s">
        <v>146</v>
      </c>
      <c r="F407" t="s">
        <v>147</v>
      </c>
      <c r="G407" t="s">
        <v>148</v>
      </c>
      <c r="H407" t="s">
        <v>142</v>
      </c>
      <c r="I407" t="s">
        <v>149</v>
      </c>
      <c r="J407" s="18">
        <v>12809.5</v>
      </c>
      <c r="K407" t="s">
        <v>97</v>
      </c>
      <c r="L407" t="s">
        <v>150</v>
      </c>
      <c r="M407" t="s">
        <v>151</v>
      </c>
      <c r="N407" t="s">
        <v>152</v>
      </c>
      <c r="O407" t="s">
        <v>153</v>
      </c>
    </row>
    <row r="408" spans="1:15" x14ac:dyDescent="0.45">
      <c r="A408">
        <f t="shared" si="6"/>
        <v>407</v>
      </c>
      <c r="B408" s="14">
        <v>43439</v>
      </c>
      <c r="C408" s="14">
        <f>EOMONTH(tbl_GLSalesDetail[[#This Row],[Date]],-1)+1</f>
        <v>43435</v>
      </c>
      <c r="D408" s="17">
        <v>1001</v>
      </c>
      <c r="E408" t="s">
        <v>125</v>
      </c>
      <c r="F408" t="s">
        <v>93</v>
      </c>
      <c r="G408" t="s">
        <v>126</v>
      </c>
      <c r="H408" t="s">
        <v>178</v>
      </c>
      <c r="I408" t="s">
        <v>179</v>
      </c>
      <c r="J408" s="18">
        <v>9041.4500000000007</v>
      </c>
      <c r="K408" t="s">
        <v>97</v>
      </c>
      <c r="L408" t="s">
        <v>129</v>
      </c>
      <c r="M408" t="s">
        <v>130</v>
      </c>
      <c r="N408" t="s">
        <v>131</v>
      </c>
      <c r="O408" t="s">
        <v>132</v>
      </c>
    </row>
    <row r="409" spans="1:15" x14ac:dyDescent="0.45">
      <c r="A409">
        <f t="shared" si="6"/>
        <v>408</v>
      </c>
      <c r="B409" s="14">
        <v>43439</v>
      </c>
      <c r="C409" s="14">
        <f>EOMONTH(tbl_GLSalesDetail[[#This Row],[Date]],-1)+1</f>
        <v>43435</v>
      </c>
      <c r="D409" s="17">
        <v>1001</v>
      </c>
      <c r="E409" t="s">
        <v>125</v>
      </c>
      <c r="F409" t="s">
        <v>93</v>
      </c>
      <c r="G409" t="s">
        <v>126</v>
      </c>
      <c r="H409" t="s">
        <v>176</v>
      </c>
      <c r="I409" t="s">
        <v>177</v>
      </c>
      <c r="J409" s="18">
        <v>46665.850000000006</v>
      </c>
      <c r="K409" t="s">
        <v>97</v>
      </c>
      <c r="L409" t="s">
        <v>129</v>
      </c>
      <c r="M409" t="s">
        <v>130</v>
      </c>
      <c r="N409" t="s">
        <v>131</v>
      </c>
      <c r="O409" t="s">
        <v>132</v>
      </c>
    </row>
    <row r="410" spans="1:15" x14ac:dyDescent="0.45">
      <c r="A410">
        <f t="shared" si="6"/>
        <v>409</v>
      </c>
      <c r="B410" s="14">
        <v>43439</v>
      </c>
      <c r="C410" s="14">
        <f>EOMONTH(tbl_GLSalesDetail[[#This Row],[Date]],-1)+1</f>
        <v>43435</v>
      </c>
      <c r="D410" s="17">
        <v>1001</v>
      </c>
      <c r="E410" t="s">
        <v>146</v>
      </c>
      <c r="F410" t="s">
        <v>147</v>
      </c>
      <c r="G410" t="s">
        <v>148</v>
      </c>
      <c r="H410" t="s">
        <v>142</v>
      </c>
      <c r="I410" t="s">
        <v>154</v>
      </c>
      <c r="J410" s="18">
        <v>22575.575000000001</v>
      </c>
      <c r="K410" t="s">
        <v>97</v>
      </c>
      <c r="L410" t="s">
        <v>150</v>
      </c>
      <c r="M410" t="s">
        <v>151</v>
      </c>
      <c r="N410" t="s">
        <v>152</v>
      </c>
      <c r="O410" t="s">
        <v>153</v>
      </c>
    </row>
    <row r="411" spans="1:15" x14ac:dyDescent="0.45">
      <c r="A411">
        <f t="shared" si="6"/>
        <v>410</v>
      </c>
      <c r="B411" s="14">
        <v>43439</v>
      </c>
      <c r="C411" s="14">
        <f>EOMONTH(tbl_GLSalesDetail[[#This Row],[Date]],-1)+1</f>
        <v>43435</v>
      </c>
      <c r="D411" s="17">
        <v>1001</v>
      </c>
      <c r="E411" t="s">
        <v>136</v>
      </c>
      <c r="F411" t="s">
        <v>106</v>
      </c>
      <c r="G411" t="s">
        <v>137</v>
      </c>
      <c r="H411" t="s">
        <v>142</v>
      </c>
      <c r="I411" t="s">
        <v>154</v>
      </c>
      <c r="J411" s="18">
        <v>40864.175000000003</v>
      </c>
      <c r="K411" t="s">
        <v>97</v>
      </c>
      <c r="L411" t="s">
        <v>138</v>
      </c>
      <c r="M411" t="s">
        <v>139</v>
      </c>
      <c r="N411" t="s">
        <v>140</v>
      </c>
      <c r="O411" t="s">
        <v>141</v>
      </c>
    </row>
    <row r="412" spans="1:15" x14ac:dyDescent="0.45">
      <c r="A412">
        <f t="shared" si="6"/>
        <v>411</v>
      </c>
      <c r="B412" s="14">
        <v>43439</v>
      </c>
      <c r="C412" s="14">
        <f>EOMONTH(tbl_GLSalesDetail[[#This Row],[Date]],-1)+1</f>
        <v>43435</v>
      </c>
      <c r="D412" s="17">
        <v>1001</v>
      </c>
      <c r="E412" t="s">
        <v>92</v>
      </c>
      <c r="F412" t="s">
        <v>93</v>
      </c>
      <c r="G412" t="s">
        <v>94</v>
      </c>
      <c r="H412" t="s">
        <v>102</v>
      </c>
      <c r="I412" t="s">
        <v>161</v>
      </c>
      <c r="J412" s="18">
        <v>41747.75</v>
      </c>
      <c r="K412" t="s">
        <v>97</v>
      </c>
      <c r="L412" t="s">
        <v>98</v>
      </c>
      <c r="M412" t="s">
        <v>99</v>
      </c>
      <c r="N412" t="s">
        <v>100</v>
      </c>
      <c r="O412" t="s">
        <v>101</v>
      </c>
    </row>
    <row r="413" spans="1:15" x14ac:dyDescent="0.45">
      <c r="A413">
        <f t="shared" si="6"/>
        <v>412</v>
      </c>
      <c r="B413" s="14">
        <v>43439</v>
      </c>
      <c r="C413" s="14">
        <f>EOMONTH(tbl_GLSalesDetail[[#This Row],[Date]],-1)+1</f>
        <v>43435</v>
      </c>
      <c r="D413" s="17">
        <v>1001</v>
      </c>
      <c r="E413" t="s">
        <v>155</v>
      </c>
      <c r="F413" t="s">
        <v>117</v>
      </c>
      <c r="G413" t="s">
        <v>156</v>
      </c>
      <c r="H413" t="s">
        <v>169</v>
      </c>
      <c r="I413" t="s">
        <v>170</v>
      </c>
      <c r="J413" s="18">
        <v>39690.75</v>
      </c>
      <c r="K413" t="s">
        <v>97</v>
      </c>
      <c r="L413" t="s">
        <v>158</v>
      </c>
      <c r="M413" t="s">
        <v>159</v>
      </c>
      <c r="N413" t="s">
        <v>140</v>
      </c>
      <c r="O413" t="s">
        <v>141</v>
      </c>
    </row>
    <row r="414" spans="1:15" x14ac:dyDescent="0.45">
      <c r="A414">
        <f t="shared" si="6"/>
        <v>413</v>
      </c>
      <c r="B414" s="14">
        <v>43439</v>
      </c>
      <c r="C414" s="14">
        <f>EOMONTH(tbl_GLSalesDetail[[#This Row],[Date]],-1)+1</f>
        <v>43435</v>
      </c>
      <c r="D414" s="17">
        <v>1002</v>
      </c>
      <c r="E414" t="s">
        <v>136</v>
      </c>
      <c r="F414" t="s">
        <v>106</v>
      </c>
      <c r="G414" t="s">
        <v>137</v>
      </c>
      <c r="H414" t="s">
        <v>192</v>
      </c>
      <c r="I414" t="s">
        <v>193</v>
      </c>
      <c r="J414" s="18">
        <v>12201.75</v>
      </c>
      <c r="K414" t="s">
        <v>104</v>
      </c>
      <c r="L414" t="s">
        <v>138</v>
      </c>
      <c r="M414" t="s">
        <v>139</v>
      </c>
      <c r="N414" t="s">
        <v>140</v>
      </c>
      <c r="O414" t="s">
        <v>141</v>
      </c>
    </row>
    <row r="415" spans="1:15" x14ac:dyDescent="0.45">
      <c r="A415">
        <f t="shared" si="6"/>
        <v>414</v>
      </c>
      <c r="B415" s="14">
        <v>43439</v>
      </c>
      <c r="C415" s="14">
        <f>EOMONTH(tbl_GLSalesDetail[[#This Row],[Date]],-1)+1</f>
        <v>43435</v>
      </c>
      <c r="D415" s="17">
        <v>1002</v>
      </c>
      <c r="E415" t="s">
        <v>92</v>
      </c>
      <c r="F415" t="s">
        <v>93</v>
      </c>
      <c r="G415" t="s">
        <v>94</v>
      </c>
      <c r="H415" t="s">
        <v>134</v>
      </c>
      <c r="I415" t="s">
        <v>135</v>
      </c>
      <c r="J415" s="18">
        <v>21275.925000000003</v>
      </c>
      <c r="K415" t="s">
        <v>104</v>
      </c>
      <c r="L415" t="s">
        <v>98</v>
      </c>
      <c r="M415" t="s">
        <v>99</v>
      </c>
      <c r="N415" t="s">
        <v>100</v>
      </c>
      <c r="O415" t="s">
        <v>101</v>
      </c>
    </row>
    <row r="416" spans="1:15" x14ac:dyDescent="0.45">
      <c r="A416">
        <f t="shared" si="6"/>
        <v>415</v>
      </c>
      <c r="B416" s="14">
        <v>43439</v>
      </c>
      <c r="C416" s="14">
        <f>EOMONTH(tbl_GLSalesDetail[[#This Row],[Date]],-1)+1</f>
        <v>43435</v>
      </c>
      <c r="D416" s="17">
        <v>1002</v>
      </c>
      <c r="E416" t="s">
        <v>146</v>
      </c>
      <c r="F416" t="s">
        <v>147</v>
      </c>
      <c r="G416" t="s">
        <v>180</v>
      </c>
      <c r="H416" t="s">
        <v>169</v>
      </c>
      <c r="I416" t="s">
        <v>170</v>
      </c>
      <c r="J416" s="18">
        <v>33094.325000000004</v>
      </c>
      <c r="K416" t="s">
        <v>104</v>
      </c>
      <c r="L416" t="s">
        <v>181</v>
      </c>
      <c r="M416" t="s">
        <v>182</v>
      </c>
      <c r="N416" t="s">
        <v>183</v>
      </c>
      <c r="O416" t="s">
        <v>184</v>
      </c>
    </row>
    <row r="417" spans="1:15" x14ac:dyDescent="0.45">
      <c r="A417">
        <f t="shared" si="6"/>
        <v>416</v>
      </c>
      <c r="B417" s="14">
        <v>43439</v>
      </c>
      <c r="C417" s="14">
        <f>EOMONTH(tbl_GLSalesDetail[[#This Row],[Date]],-1)+1</f>
        <v>43435</v>
      </c>
      <c r="D417" s="17">
        <v>1002</v>
      </c>
      <c r="E417" t="s">
        <v>125</v>
      </c>
      <c r="F417" t="s">
        <v>93</v>
      </c>
      <c r="G417" t="s">
        <v>126</v>
      </c>
      <c r="H417" t="s">
        <v>119</v>
      </c>
      <c r="I417" t="s">
        <v>133</v>
      </c>
      <c r="J417" s="18">
        <v>37021.325000000004</v>
      </c>
      <c r="K417" t="s">
        <v>104</v>
      </c>
      <c r="L417" t="s">
        <v>129</v>
      </c>
      <c r="M417" t="s">
        <v>130</v>
      </c>
      <c r="N417" t="s">
        <v>131</v>
      </c>
      <c r="O417" t="s">
        <v>132</v>
      </c>
    </row>
    <row r="418" spans="1:15" x14ac:dyDescent="0.45">
      <c r="A418">
        <f t="shared" si="6"/>
        <v>417</v>
      </c>
      <c r="B418" s="14">
        <v>43439</v>
      </c>
      <c r="C418" s="14">
        <f>EOMONTH(tbl_GLSalesDetail[[#This Row],[Date]],-1)+1</f>
        <v>43435</v>
      </c>
      <c r="D418" s="17">
        <v>1002</v>
      </c>
      <c r="E418" t="s">
        <v>155</v>
      </c>
      <c r="F418" t="s">
        <v>117</v>
      </c>
      <c r="G418" t="s">
        <v>156</v>
      </c>
      <c r="H418" t="s">
        <v>176</v>
      </c>
      <c r="I418" t="s">
        <v>177</v>
      </c>
      <c r="J418" s="18">
        <v>43150.25</v>
      </c>
      <c r="K418" t="s">
        <v>104</v>
      </c>
      <c r="L418" t="s">
        <v>158</v>
      </c>
      <c r="M418" t="s">
        <v>159</v>
      </c>
      <c r="N418" t="s">
        <v>140</v>
      </c>
      <c r="O418" t="s">
        <v>141</v>
      </c>
    </row>
    <row r="419" spans="1:15" x14ac:dyDescent="0.45">
      <c r="A419">
        <f t="shared" si="6"/>
        <v>418</v>
      </c>
      <c r="B419" s="14">
        <v>43441</v>
      </c>
      <c r="C419" s="14">
        <f>EOMONTH(tbl_GLSalesDetail[[#This Row],[Date]],-1)+1</f>
        <v>43435</v>
      </c>
      <c r="D419" s="17">
        <v>1001</v>
      </c>
      <c r="E419" t="s">
        <v>136</v>
      </c>
      <c r="F419" t="s">
        <v>106</v>
      </c>
      <c r="G419" t="s">
        <v>162</v>
      </c>
      <c r="H419" t="s">
        <v>169</v>
      </c>
      <c r="I419" t="s">
        <v>170</v>
      </c>
      <c r="J419" s="18">
        <v>29391.725000000002</v>
      </c>
      <c r="K419" t="s">
        <v>97</v>
      </c>
      <c r="L419" t="s">
        <v>165</v>
      </c>
      <c r="M419" t="s">
        <v>166</v>
      </c>
      <c r="N419" t="s">
        <v>167</v>
      </c>
      <c r="O419" t="s">
        <v>168</v>
      </c>
    </row>
    <row r="420" spans="1:15" x14ac:dyDescent="0.45">
      <c r="A420">
        <f t="shared" si="6"/>
        <v>419</v>
      </c>
      <c r="B420" s="14">
        <v>43441</v>
      </c>
      <c r="C420" s="14">
        <f>EOMONTH(tbl_GLSalesDetail[[#This Row],[Date]],-1)+1</f>
        <v>43435</v>
      </c>
      <c r="D420" s="17">
        <v>1001</v>
      </c>
      <c r="E420" t="s">
        <v>146</v>
      </c>
      <c r="F420" t="s">
        <v>147</v>
      </c>
      <c r="G420" t="s">
        <v>148</v>
      </c>
      <c r="H420" t="s">
        <v>134</v>
      </c>
      <c r="I420" t="s">
        <v>135</v>
      </c>
      <c r="J420" s="18">
        <v>5469.75</v>
      </c>
      <c r="K420" t="s">
        <v>97</v>
      </c>
      <c r="L420" t="s">
        <v>150</v>
      </c>
      <c r="M420" t="s">
        <v>151</v>
      </c>
      <c r="N420" t="s">
        <v>152</v>
      </c>
      <c r="O420" t="s">
        <v>153</v>
      </c>
    </row>
    <row r="421" spans="1:15" x14ac:dyDescent="0.45">
      <c r="A421">
        <f t="shared" si="6"/>
        <v>420</v>
      </c>
      <c r="B421" s="14">
        <v>43441</v>
      </c>
      <c r="C421" s="14">
        <f>EOMONTH(tbl_GLSalesDetail[[#This Row],[Date]],-1)+1</f>
        <v>43435</v>
      </c>
      <c r="D421" s="17">
        <v>1002</v>
      </c>
      <c r="E421" t="s">
        <v>125</v>
      </c>
      <c r="F421" t="s">
        <v>93</v>
      </c>
      <c r="G421" t="s">
        <v>126</v>
      </c>
      <c r="H421" t="s">
        <v>142</v>
      </c>
      <c r="I421" t="s">
        <v>154</v>
      </c>
      <c r="J421" s="18">
        <v>33056.925000000003</v>
      </c>
      <c r="K421" t="s">
        <v>104</v>
      </c>
      <c r="L421" t="s">
        <v>129</v>
      </c>
      <c r="M421" t="s">
        <v>130</v>
      </c>
      <c r="N421" t="s">
        <v>131</v>
      </c>
      <c r="O421" t="s">
        <v>132</v>
      </c>
    </row>
    <row r="422" spans="1:15" x14ac:dyDescent="0.45">
      <c r="A422">
        <f t="shared" si="6"/>
        <v>421</v>
      </c>
      <c r="B422" s="14">
        <v>43442</v>
      </c>
      <c r="C422" s="14">
        <f>EOMONTH(tbl_GLSalesDetail[[#This Row],[Date]],-1)+1</f>
        <v>43435</v>
      </c>
      <c r="D422" s="17">
        <v>1001</v>
      </c>
      <c r="E422" t="s">
        <v>116</v>
      </c>
      <c r="F422" t="s">
        <v>117</v>
      </c>
      <c r="G422" t="s">
        <v>118</v>
      </c>
      <c r="H422" t="s">
        <v>134</v>
      </c>
      <c r="I422" t="s">
        <v>135</v>
      </c>
      <c r="J422" s="18">
        <v>43846.825000000004</v>
      </c>
      <c r="K422" t="s">
        <v>145</v>
      </c>
      <c r="L422" t="s">
        <v>121</v>
      </c>
      <c r="M422" t="s">
        <v>122</v>
      </c>
      <c r="N422" t="s">
        <v>123</v>
      </c>
      <c r="O422" t="s">
        <v>124</v>
      </c>
    </row>
    <row r="423" spans="1:15" x14ac:dyDescent="0.45">
      <c r="A423">
        <f t="shared" si="6"/>
        <v>422</v>
      </c>
      <c r="B423" s="14">
        <v>43442</v>
      </c>
      <c r="C423" s="14">
        <f>EOMONTH(tbl_GLSalesDetail[[#This Row],[Date]],-1)+1</f>
        <v>43435</v>
      </c>
      <c r="D423" s="17">
        <v>1001</v>
      </c>
      <c r="E423" t="s">
        <v>136</v>
      </c>
      <c r="F423" t="s">
        <v>106</v>
      </c>
      <c r="G423" t="s">
        <v>137</v>
      </c>
      <c r="H423" t="s">
        <v>142</v>
      </c>
      <c r="I423" t="s">
        <v>157</v>
      </c>
      <c r="J423" s="18">
        <v>24235.200000000001</v>
      </c>
      <c r="K423" t="s">
        <v>97</v>
      </c>
      <c r="L423" t="s">
        <v>138</v>
      </c>
      <c r="M423" t="s">
        <v>139</v>
      </c>
      <c r="N423" t="s">
        <v>140</v>
      </c>
      <c r="O423" t="s">
        <v>141</v>
      </c>
    </row>
    <row r="424" spans="1:15" x14ac:dyDescent="0.45">
      <c r="A424">
        <f t="shared" si="6"/>
        <v>423</v>
      </c>
      <c r="B424" s="14">
        <v>43442</v>
      </c>
      <c r="C424" s="14">
        <f>EOMONTH(tbl_GLSalesDetail[[#This Row],[Date]],-1)+1</f>
        <v>43435</v>
      </c>
      <c r="D424" s="17">
        <v>1002</v>
      </c>
      <c r="E424" t="s">
        <v>146</v>
      </c>
      <c r="F424" t="s">
        <v>147</v>
      </c>
      <c r="G424" t="s">
        <v>180</v>
      </c>
      <c r="H424" t="s">
        <v>108</v>
      </c>
      <c r="I424" t="s">
        <v>109</v>
      </c>
      <c r="J424" s="18">
        <v>2183.2249999999999</v>
      </c>
      <c r="K424" t="s">
        <v>104</v>
      </c>
      <c r="L424" t="s">
        <v>181</v>
      </c>
      <c r="M424" t="s">
        <v>182</v>
      </c>
      <c r="N424" t="s">
        <v>183</v>
      </c>
      <c r="O424" t="s">
        <v>184</v>
      </c>
    </row>
    <row r="425" spans="1:15" x14ac:dyDescent="0.45">
      <c r="A425">
        <f t="shared" si="6"/>
        <v>424</v>
      </c>
      <c r="B425" s="14">
        <v>43447</v>
      </c>
      <c r="C425" s="14">
        <f>EOMONTH(tbl_GLSalesDetail[[#This Row],[Date]],-1)+1</f>
        <v>43435</v>
      </c>
      <c r="D425" s="17">
        <v>1002</v>
      </c>
      <c r="E425" t="s">
        <v>105</v>
      </c>
      <c r="F425" t="s">
        <v>106</v>
      </c>
      <c r="G425" t="s">
        <v>107</v>
      </c>
      <c r="H425" t="s">
        <v>142</v>
      </c>
      <c r="I425" t="s">
        <v>149</v>
      </c>
      <c r="J425" s="18">
        <v>39989.950000000004</v>
      </c>
      <c r="K425" t="s">
        <v>104</v>
      </c>
      <c r="L425" t="s">
        <v>110</v>
      </c>
      <c r="M425" t="s">
        <v>111</v>
      </c>
      <c r="N425" t="s">
        <v>112</v>
      </c>
      <c r="O425" t="s">
        <v>113</v>
      </c>
    </row>
    <row r="426" spans="1:15" x14ac:dyDescent="0.45">
      <c r="A426">
        <f t="shared" si="6"/>
        <v>425</v>
      </c>
      <c r="B426" s="14">
        <v>43448</v>
      </c>
      <c r="C426" s="14">
        <f>EOMONTH(tbl_GLSalesDetail[[#This Row],[Date]],-1)+1</f>
        <v>43435</v>
      </c>
      <c r="D426" s="17">
        <v>1001</v>
      </c>
      <c r="E426" t="s">
        <v>105</v>
      </c>
      <c r="F426" t="s">
        <v>106</v>
      </c>
      <c r="G426" t="s">
        <v>107</v>
      </c>
      <c r="H426" t="s">
        <v>142</v>
      </c>
      <c r="I426" t="s">
        <v>149</v>
      </c>
      <c r="J426" s="18">
        <v>3997.1250000000005</v>
      </c>
      <c r="K426" t="s">
        <v>97</v>
      </c>
      <c r="L426" t="s">
        <v>110</v>
      </c>
      <c r="M426" t="s">
        <v>111</v>
      </c>
      <c r="N426" t="s">
        <v>112</v>
      </c>
      <c r="O426" t="s">
        <v>113</v>
      </c>
    </row>
    <row r="427" spans="1:15" x14ac:dyDescent="0.45">
      <c r="A427">
        <f t="shared" si="6"/>
        <v>426</v>
      </c>
      <c r="B427" s="14">
        <v>43448</v>
      </c>
      <c r="C427" s="14">
        <f>EOMONTH(tbl_GLSalesDetail[[#This Row],[Date]],-1)+1</f>
        <v>43435</v>
      </c>
      <c r="D427" s="17">
        <v>1001</v>
      </c>
      <c r="E427" t="s">
        <v>105</v>
      </c>
      <c r="F427" t="s">
        <v>106</v>
      </c>
      <c r="G427" t="s">
        <v>107</v>
      </c>
      <c r="H427" t="s">
        <v>192</v>
      </c>
      <c r="I427" t="s">
        <v>193</v>
      </c>
      <c r="J427" s="18">
        <v>46679.875</v>
      </c>
      <c r="K427" t="s">
        <v>97</v>
      </c>
      <c r="L427" t="s">
        <v>110</v>
      </c>
      <c r="M427" t="s">
        <v>111</v>
      </c>
      <c r="N427" t="s">
        <v>112</v>
      </c>
      <c r="O427" t="s">
        <v>113</v>
      </c>
    </row>
    <row r="428" spans="1:15" x14ac:dyDescent="0.45">
      <c r="A428">
        <f t="shared" si="6"/>
        <v>427</v>
      </c>
      <c r="B428" s="14">
        <v>43449</v>
      </c>
      <c r="C428" s="14">
        <f>EOMONTH(tbl_GLSalesDetail[[#This Row],[Date]],-1)+1</f>
        <v>43435</v>
      </c>
      <c r="D428" s="17">
        <v>1001</v>
      </c>
      <c r="E428" t="s">
        <v>155</v>
      </c>
      <c r="F428" t="s">
        <v>117</v>
      </c>
      <c r="G428" t="s">
        <v>156</v>
      </c>
      <c r="H428" t="s">
        <v>169</v>
      </c>
      <c r="I428" t="s">
        <v>170</v>
      </c>
      <c r="J428" s="18">
        <v>37731.925000000003</v>
      </c>
      <c r="K428" t="s">
        <v>145</v>
      </c>
      <c r="L428" t="s">
        <v>158</v>
      </c>
      <c r="M428" t="s">
        <v>159</v>
      </c>
      <c r="N428" t="s">
        <v>140</v>
      </c>
      <c r="O428" t="s">
        <v>141</v>
      </c>
    </row>
    <row r="429" spans="1:15" x14ac:dyDescent="0.45">
      <c r="A429">
        <f t="shared" si="6"/>
        <v>428</v>
      </c>
      <c r="B429" s="14">
        <v>43450</v>
      </c>
      <c r="C429" s="14">
        <f>EOMONTH(tbl_GLSalesDetail[[#This Row],[Date]],-1)+1</f>
        <v>43435</v>
      </c>
      <c r="D429" s="17">
        <v>1002</v>
      </c>
      <c r="E429" t="s">
        <v>116</v>
      </c>
      <c r="F429" t="s">
        <v>117</v>
      </c>
      <c r="G429" t="s">
        <v>118</v>
      </c>
      <c r="H429" t="s">
        <v>102</v>
      </c>
      <c r="I429" t="s">
        <v>144</v>
      </c>
      <c r="J429" s="18">
        <v>46226.400000000001</v>
      </c>
      <c r="K429" t="s">
        <v>104</v>
      </c>
      <c r="L429" t="s">
        <v>121</v>
      </c>
      <c r="M429" t="s">
        <v>122</v>
      </c>
      <c r="N429" t="s">
        <v>123</v>
      </c>
      <c r="O429" t="s">
        <v>124</v>
      </c>
    </row>
    <row r="430" spans="1:15" x14ac:dyDescent="0.45">
      <c r="A430">
        <f t="shared" si="6"/>
        <v>429</v>
      </c>
      <c r="B430" s="14">
        <v>43453</v>
      </c>
      <c r="C430" s="14">
        <f>EOMONTH(tbl_GLSalesDetail[[#This Row],[Date]],-1)+1</f>
        <v>43435</v>
      </c>
      <c r="D430" s="17">
        <v>1001</v>
      </c>
      <c r="E430" t="s">
        <v>125</v>
      </c>
      <c r="F430" t="s">
        <v>93</v>
      </c>
      <c r="G430" t="s">
        <v>126</v>
      </c>
      <c r="H430" t="s">
        <v>142</v>
      </c>
      <c r="I430" t="s">
        <v>149</v>
      </c>
      <c r="J430" s="18">
        <v>11565.95</v>
      </c>
      <c r="K430" t="s">
        <v>97</v>
      </c>
      <c r="L430" t="s">
        <v>129</v>
      </c>
      <c r="M430" t="s">
        <v>130</v>
      </c>
      <c r="N430" t="s">
        <v>131</v>
      </c>
      <c r="O430" t="s">
        <v>132</v>
      </c>
    </row>
    <row r="431" spans="1:15" x14ac:dyDescent="0.45">
      <c r="A431">
        <f t="shared" si="6"/>
        <v>430</v>
      </c>
      <c r="B431" s="14">
        <v>43454</v>
      </c>
      <c r="C431" s="14">
        <f>EOMONTH(tbl_GLSalesDetail[[#This Row],[Date]],-1)+1</f>
        <v>43435</v>
      </c>
      <c r="D431" s="17">
        <v>1001</v>
      </c>
      <c r="E431" t="s">
        <v>125</v>
      </c>
      <c r="F431" t="s">
        <v>93</v>
      </c>
      <c r="G431" t="s">
        <v>126</v>
      </c>
      <c r="H431" t="s">
        <v>169</v>
      </c>
      <c r="I431" t="s">
        <v>186</v>
      </c>
      <c r="J431" s="18">
        <v>15291.925000000001</v>
      </c>
      <c r="K431" t="s">
        <v>97</v>
      </c>
      <c r="L431" t="s">
        <v>129</v>
      </c>
      <c r="M431" t="s">
        <v>130</v>
      </c>
      <c r="N431" t="s">
        <v>131</v>
      </c>
      <c r="O431" t="s">
        <v>132</v>
      </c>
    </row>
    <row r="432" spans="1:15" x14ac:dyDescent="0.45">
      <c r="A432">
        <f t="shared" si="6"/>
        <v>431</v>
      </c>
      <c r="B432" s="14">
        <v>43454</v>
      </c>
      <c r="C432" s="14">
        <f>EOMONTH(tbl_GLSalesDetail[[#This Row],[Date]],-1)+1</f>
        <v>43435</v>
      </c>
      <c r="D432" s="17">
        <v>1001</v>
      </c>
      <c r="E432" t="s">
        <v>125</v>
      </c>
      <c r="F432" t="s">
        <v>93</v>
      </c>
      <c r="G432" t="s">
        <v>126</v>
      </c>
      <c r="H432" t="s">
        <v>192</v>
      </c>
      <c r="I432" t="s">
        <v>193</v>
      </c>
      <c r="J432" s="18">
        <v>1748.45</v>
      </c>
      <c r="K432" t="s">
        <v>97</v>
      </c>
      <c r="L432" t="s">
        <v>129</v>
      </c>
      <c r="M432" t="s">
        <v>130</v>
      </c>
      <c r="N432" t="s">
        <v>131</v>
      </c>
      <c r="O432" t="s">
        <v>132</v>
      </c>
    </row>
    <row r="433" spans="1:15" x14ac:dyDescent="0.45">
      <c r="A433">
        <f t="shared" si="6"/>
        <v>432</v>
      </c>
      <c r="B433" s="14">
        <v>43457</v>
      </c>
      <c r="C433" s="14">
        <f>EOMONTH(tbl_GLSalesDetail[[#This Row],[Date]],-1)+1</f>
        <v>43435</v>
      </c>
      <c r="D433" s="17">
        <v>1001</v>
      </c>
      <c r="E433" t="s">
        <v>125</v>
      </c>
      <c r="F433" t="s">
        <v>93</v>
      </c>
      <c r="G433" t="s">
        <v>126</v>
      </c>
      <c r="H433" t="s">
        <v>102</v>
      </c>
      <c r="I433" t="s">
        <v>160</v>
      </c>
      <c r="J433" s="18">
        <v>22070.675000000003</v>
      </c>
      <c r="K433" t="s">
        <v>145</v>
      </c>
      <c r="L433" t="s">
        <v>129</v>
      </c>
      <c r="M433" t="s">
        <v>130</v>
      </c>
      <c r="N433" t="s">
        <v>131</v>
      </c>
      <c r="O433" t="s">
        <v>132</v>
      </c>
    </row>
    <row r="434" spans="1:15" x14ac:dyDescent="0.45">
      <c r="A434">
        <f t="shared" si="6"/>
        <v>433</v>
      </c>
      <c r="B434" s="14">
        <v>43457</v>
      </c>
      <c r="C434" s="14">
        <f>EOMONTH(tbl_GLSalesDetail[[#This Row],[Date]],-1)+1</f>
        <v>43435</v>
      </c>
      <c r="D434" s="17">
        <v>1001</v>
      </c>
      <c r="E434" t="s">
        <v>116</v>
      </c>
      <c r="F434" t="s">
        <v>117</v>
      </c>
      <c r="G434" t="s">
        <v>118</v>
      </c>
      <c r="H434" t="s">
        <v>102</v>
      </c>
      <c r="I434" t="s">
        <v>103</v>
      </c>
      <c r="J434" s="18">
        <v>16236.275000000001</v>
      </c>
      <c r="K434" t="s">
        <v>97</v>
      </c>
      <c r="L434" t="s">
        <v>121</v>
      </c>
      <c r="M434" t="s">
        <v>122</v>
      </c>
      <c r="N434" t="s">
        <v>123</v>
      </c>
      <c r="O434" t="s">
        <v>124</v>
      </c>
    </row>
    <row r="435" spans="1:15" x14ac:dyDescent="0.45">
      <c r="A435">
        <f t="shared" si="6"/>
        <v>434</v>
      </c>
      <c r="B435" s="14">
        <v>43457</v>
      </c>
      <c r="C435" s="14">
        <f>EOMONTH(tbl_GLSalesDetail[[#This Row],[Date]],-1)+1</f>
        <v>43435</v>
      </c>
      <c r="D435" s="17">
        <v>1001</v>
      </c>
      <c r="E435" t="s">
        <v>136</v>
      </c>
      <c r="F435" t="s">
        <v>106</v>
      </c>
      <c r="G435" t="s">
        <v>137</v>
      </c>
      <c r="H435" t="s">
        <v>108</v>
      </c>
      <c r="I435" t="s">
        <v>109</v>
      </c>
      <c r="J435" s="18">
        <v>13328.425000000001</v>
      </c>
      <c r="K435" t="s">
        <v>97</v>
      </c>
      <c r="L435" t="s">
        <v>138</v>
      </c>
      <c r="M435" t="s">
        <v>139</v>
      </c>
      <c r="N435" t="s">
        <v>140</v>
      </c>
      <c r="O435" t="s">
        <v>141</v>
      </c>
    </row>
    <row r="436" spans="1:15" x14ac:dyDescent="0.45">
      <c r="A436">
        <f t="shared" si="6"/>
        <v>435</v>
      </c>
      <c r="B436" s="14">
        <v>43457</v>
      </c>
      <c r="C436" s="14">
        <f>EOMONTH(tbl_GLSalesDetail[[#This Row],[Date]],-1)+1</f>
        <v>43435</v>
      </c>
      <c r="D436" s="17">
        <v>1001</v>
      </c>
      <c r="E436" t="s">
        <v>155</v>
      </c>
      <c r="F436" t="s">
        <v>117</v>
      </c>
      <c r="G436" t="s">
        <v>156</v>
      </c>
      <c r="H436" t="s">
        <v>169</v>
      </c>
      <c r="I436" t="s">
        <v>170</v>
      </c>
      <c r="J436" s="18">
        <v>2099.0750000000003</v>
      </c>
      <c r="K436" t="s">
        <v>97</v>
      </c>
      <c r="L436" t="s">
        <v>158</v>
      </c>
      <c r="M436" t="s">
        <v>159</v>
      </c>
      <c r="N436" t="s">
        <v>140</v>
      </c>
      <c r="O436" t="s">
        <v>141</v>
      </c>
    </row>
    <row r="437" spans="1:15" x14ac:dyDescent="0.45">
      <c r="A437">
        <f t="shared" si="6"/>
        <v>436</v>
      </c>
      <c r="B437" s="14">
        <v>43457</v>
      </c>
      <c r="C437" s="14">
        <f>EOMONTH(tbl_GLSalesDetail[[#This Row],[Date]],-1)+1</f>
        <v>43435</v>
      </c>
      <c r="D437" s="17">
        <v>1002</v>
      </c>
      <c r="E437" t="s">
        <v>155</v>
      </c>
      <c r="F437" t="s">
        <v>117</v>
      </c>
      <c r="G437" t="s">
        <v>156</v>
      </c>
      <c r="H437" t="s">
        <v>114</v>
      </c>
      <c r="I437" t="s">
        <v>115</v>
      </c>
      <c r="J437" s="18">
        <v>29087.850000000002</v>
      </c>
      <c r="K437" t="s">
        <v>104</v>
      </c>
      <c r="L437" t="s">
        <v>158</v>
      </c>
      <c r="M437" t="s">
        <v>159</v>
      </c>
      <c r="N437" t="s">
        <v>140</v>
      </c>
      <c r="O437" t="s">
        <v>141</v>
      </c>
    </row>
    <row r="438" spans="1:15" x14ac:dyDescent="0.45">
      <c r="A438">
        <f t="shared" si="6"/>
        <v>437</v>
      </c>
      <c r="B438" s="14">
        <v>43457</v>
      </c>
      <c r="C438" s="14">
        <f>EOMONTH(tbl_GLSalesDetail[[#This Row],[Date]],-1)+1</f>
        <v>43435</v>
      </c>
      <c r="D438" s="17">
        <v>1002</v>
      </c>
      <c r="E438" t="s">
        <v>155</v>
      </c>
      <c r="F438" t="s">
        <v>117</v>
      </c>
      <c r="G438" t="s">
        <v>156</v>
      </c>
      <c r="H438" t="s">
        <v>102</v>
      </c>
      <c r="I438" t="s">
        <v>144</v>
      </c>
      <c r="J438" s="18">
        <v>32374.375000000004</v>
      </c>
      <c r="K438" t="s">
        <v>104</v>
      </c>
      <c r="L438" t="s">
        <v>158</v>
      </c>
      <c r="M438" t="s">
        <v>159</v>
      </c>
      <c r="N438" t="s">
        <v>140</v>
      </c>
      <c r="O438" t="s">
        <v>141</v>
      </c>
    </row>
    <row r="439" spans="1:15" x14ac:dyDescent="0.45">
      <c r="A439">
        <f t="shared" si="6"/>
        <v>438</v>
      </c>
      <c r="B439" s="14">
        <v>43461</v>
      </c>
      <c r="C439" s="14">
        <f>EOMONTH(tbl_GLSalesDetail[[#This Row],[Date]],-1)+1</f>
        <v>43435</v>
      </c>
      <c r="D439" s="17">
        <v>1001</v>
      </c>
      <c r="E439" t="s">
        <v>92</v>
      </c>
      <c r="F439" t="s">
        <v>93</v>
      </c>
      <c r="G439" t="s">
        <v>94</v>
      </c>
      <c r="H439" t="s">
        <v>178</v>
      </c>
      <c r="I439" t="s">
        <v>179</v>
      </c>
      <c r="J439" s="18">
        <v>21037.5</v>
      </c>
      <c r="K439" t="s">
        <v>97</v>
      </c>
      <c r="L439" t="s">
        <v>98</v>
      </c>
      <c r="M439" t="s">
        <v>99</v>
      </c>
      <c r="N439" t="s">
        <v>100</v>
      </c>
      <c r="O439" t="s">
        <v>101</v>
      </c>
    </row>
  </sheetData>
  <pageMargins left="0.7" right="0.7" top="0.75" bottom="0.75" header="0.3" footer="0.3"/>
  <tableParts count="1">
    <tablePart r:id="rId1"/>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76CED2A-86A0-46E0-A52A-92B08A108E09}">
  <sheetPr codeName="Sheet5">
    <tabColor rgb="FFFFFF00"/>
  </sheetPr>
  <dimension ref="A1:E51"/>
  <sheetViews>
    <sheetView showGridLines="0" zoomScale="90" zoomScaleNormal="90" workbookViewId="0"/>
  </sheetViews>
  <sheetFormatPr defaultRowHeight="14.25" x14ac:dyDescent="0.45"/>
  <cols>
    <col min="1" max="1" width="24" customWidth="1"/>
    <col min="2" max="2" width="26.1328125" customWidth="1"/>
    <col min="3" max="3" width="9.86328125" customWidth="1"/>
    <col min="4" max="4" width="44.73046875" bestFit="1" customWidth="1"/>
    <col min="5" max="5" width="43.73046875" bestFit="1" customWidth="1"/>
  </cols>
  <sheetData>
    <row r="1" spans="1:5" x14ac:dyDescent="0.45">
      <c r="A1" t="s">
        <v>79</v>
      </c>
      <c r="B1" t="s">
        <v>80</v>
      </c>
      <c r="C1" t="s">
        <v>75</v>
      </c>
      <c r="D1" t="s">
        <v>78</v>
      </c>
      <c r="E1" t="s">
        <v>76</v>
      </c>
    </row>
    <row r="2" spans="1:5" x14ac:dyDescent="0.45">
      <c r="A2">
        <v>1000</v>
      </c>
      <c r="B2">
        <v>1001</v>
      </c>
      <c r="C2" t="s">
        <v>14</v>
      </c>
      <c r="D2" t="s">
        <v>14</v>
      </c>
      <c r="E2" t="s">
        <v>15</v>
      </c>
    </row>
    <row r="3" spans="1:5" x14ac:dyDescent="0.45">
      <c r="A3">
        <v>1000</v>
      </c>
      <c r="B3">
        <v>1002</v>
      </c>
      <c r="C3" t="s">
        <v>14</v>
      </c>
      <c r="D3" t="s">
        <v>14</v>
      </c>
      <c r="E3" t="s">
        <v>209</v>
      </c>
    </row>
    <row r="4" spans="1:5" x14ac:dyDescent="0.45">
      <c r="A4">
        <v>1000</v>
      </c>
      <c r="B4">
        <v>1002</v>
      </c>
      <c r="C4" t="s">
        <v>14</v>
      </c>
      <c r="D4" t="s">
        <v>14</v>
      </c>
      <c r="E4" t="s">
        <v>16</v>
      </c>
    </row>
    <row r="5" spans="1:5" x14ac:dyDescent="0.45">
      <c r="A5">
        <v>1000</v>
      </c>
      <c r="B5">
        <v>1003</v>
      </c>
      <c r="C5" t="s">
        <v>14</v>
      </c>
      <c r="D5" t="s">
        <v>14</v>
      </c>
      <c r="E5" t="s">
        <v>17</v>
      </c>
    </row>
    <row r="6" spans="1:5" x14ac:dyDescent="0.45">
      <c r="A6">
        <v>1000</v>
      </c>
      <c r="B6">
        <v>1004</v>
      </c>
      <c r="C6" t="s">
        <v>14</v>
      </c>
      <c r="D6" t="s">
        <v>14</v>
      </c>
      <c r="E6" t="s">
        <v>18</v>
      </c>
    </row>
    <row r="7" spans="1:5" x14ac:dyDescent="0.45">
      <c r="A7">
        <v>1000</v>
      </c>
      <c r="B7">
        <v>1005</v>
      </c>
      <c r="C7" t="s">
        <v>14</v>
      </c>
      <c r="D7" t="s">
        <v>14</v>
      </c>
      <c r="E7" t="s">
        <v>19</v>
      </c>
    </row>
    <row r="8" spans="1:5" x14ac:dyDescent="0.45">
      <c r="A8">
        <v>2000</v>
      </c>
      <c r="B8">
        <v>2001</v>
      </c>
      <c r="C8" t="s">
        <v>77</v>
      </c>
      <c r="D8" t="s">
        <v>21</v>
      </c>
      <c r="E8" t="s">
        <v>22</v>
      </c>
    </row>
    <row r="9" spans="1:5" x14ac:dyDescent="0.45">
      <c r="A9">
        <v>2000</v>
      </c>
      <c r="B9">
        <v>2002</v>
      </c>
      <c r="C9" t="s">
        <v>77</v>
      </c>
      <c r="D9" t="s">
        <v>21</v>
      </c>
      <c r="E9" t="s">
        <v>23</v>
      </c>
    </row>
    <row r="10" spans="1:5" x14ac:dyDescent="0.45">
      <c r="A10">
        <v>2000</v>
      </c>
      <c r="B10">
        <v>2003</v>
      </c>
      <c r="C10" t="s">
        <v>77</v>
      </c>
      <c r="D10" t="s">
        <v>21</v>
      </c>
      <c r="E10" t="s">
        <v>24</v>
      </c>
    </row>
    <row r="11" spans="1:5" x14ac:dyDescent="0.45">
      <c r="A11">
        <v>2000</v>
      </c>
      <c r="B11">
        <v>2004</v>
      </c>
      <c r="C11" t="s">
        <v>77</v>
      </c>
      <c r="D11" t="s">
        <v>21</v>
      </c>
      <c r="E11" t="s">
        <v>25</v>
      </c>
    </row>
    <row r="12" spans="1:5" x14ac:dyDescent="0.45">
      <c r="A12">
        <v>2000</v>
      </c>
      <c r="B12">
        <v>2005</v>
      </c>
      <c r="C12" t="s">
        <v>77</v>
      </c>
      <c r="D12" t="s">
        <v>21</v>
      </c>
      <c r="E12" t="s">
        <v>26</v>
      </c>
    </row>
    <row r="13" spans="1:5" x14ac:dyDescent="0.45">
      <c r="A13">
        <v>2000</v>
      </c>
      <c r="B13">
        <v>2006</v>
      </c>
      <c r="C13" t="s">
        <v>77</v>
      </c>
      <c r="D13" t="s">
        <v>21</v>
      </c>
      <c r="E13" t="s">
        <v>27</v>
      </c>
    </row>
    <row r="14" spans="1:5" x14ac:dyDescent="0.45">
      <c r="A14">
        <v>2000</v>
      </c>
      <c r="B14">
        <v>2007</v>
      </c>
      <c r="C14" t="s">
        <v>77</v>
      </c>
      <c r="D14" t="s">
        <v>21</v>
      </c>
      <c r="E14" t="s">
        <v>28</v>
      </c>
    </row>
    <row r="15" spans="1:5" x14ac:dyDescent="0.45">
      <c r="A15">
        <v>2000</v>
      </c>
      <c r="B15">
        <v>2008</v>
      </c>
      <c r="C15" t="s">
        <v>77</v>
      </c>
      <c r="D15" t="s">
        <v>21</v>
      </c>
      <c r="E15" t="s">
        <v>29</v>
      </c>
    </row>
    <row r="16" spans="1:5" x14ac:dyDescent="0.45">
      <c r="A16">
        <v>2000</v>
      </c>
      <c r="B16">
        <v>2009</v>
      </c>
      <c r="C16" t="s">
        <v>77</v>
      </c>
      <c r="D16" t="s">
        <v>21</v>
      </c>
      <c r="E16" t="s">
        <v>30</v>
      </c>
    </row>
    <row r="17" spans="1:5" x14ac:dyDescent="0.45">
      <c r="A17">
        <v>2000</v>
      </c>
      <c r="B17">
        <v>2010</v>
      </c>
      <c r="C17" t="s">
        <v>77</v>
      </c>
      <c r="D17" t="s">
        <v>21</v>
      </c>
      <c r="E17" t="s">
        <v>31</v>
      </c>
    </row>
    <row r="18" spans="1:5" x14ac:dyDescent="0.45">
      <c r="A18">
        <v>2000</v>
      </c>
      <c r="B18">
        <v>2011</v>
      </c>
      <c r="C18" t="s">
        <v>77</v>
      </c>
      <c r="D18" t="s">
        <v>21</v>
      </c>
      <c r="E18" t="s">
        <v>32</v>
      </c>
    </row>
    <row r="19" spans="1:5" x14ac:dyDescent="0.45">
      <c r="A19">
        <v>2000</v>
      </c>
      <c r="B19">
        <v>2012</v>
      </c>
      <c r="C19" t="s">
        <v>77</v>
      </c>
      <c r="D19" t="s">
        <v>21</v>
      </c>
      <c r="E19" t="s">
        <v>33</v>
      </c>
    </row>
    <row r="20" spans="1:5" x14ac:dyDescent="0.45">
      <c r="A20">
        <v>2000</v>
      </c>
      <c r="B20">
        <v>2013</v>
      </c>
      <c r="C20" t="s">
        <v>77</v>
      </c>
      <c r="D20" t="s">
        <v>21</v>
      </c>
      <c r="E20" t="s">
        <v>34</v>
      </c>
    </row>
    <row r="21" spans="1:5" x14ac:dyDescent="0.45">
      <c r="A21">
        <v>2000</v>
      </c>
      <c r="B21">
        <v>2014</v>
      </c>
      <c r="C21" t="s">
        <v>77</v>
      </c>
      <c r="D21" t="s">
        <v>21</v>
      </c>
      <c r="E21" t="s">
        <v>35</v>
      </c>
    </row>
    <row r="22" spans="1:5" x14ac:dyDescent="0.45">
      <c r="A22">
        <v>2000</v>
      </c>
      <c r="B22">
        <v>2015</v>
      </c>
      <c r="C22" t="s">
        <v>77</v>
      </c>
      <c r="D22" t="s">
        <v>21</v>
      </c>
      <c r="E22" t="s">
        <v>36</v>
      </c>
    </row>
    <row r="23" spans="1:5" x14ac:dyDescent="0.45">
      <c r="A23">
        <v>2000</v>
      </c>
      <c r="B23">
        <v>2016</v>
      </c>
      <c r="C23" t="s">
        <v>77</v>
      </c>
      <c r="D23" t="s">
        <v>21</v>
      </c>
      <c r="E23" t="s">
        <v>37</v>
      </c>
    </row>
    <row r="24" spans="1:5" x14ac:dyDescent="0.45">
      <c r="A24">
        <v>2000</v>
      </c>
      <c r="B24">
        <v>2017</v>
      </c>
      <c r="C24" t="s">
        <v>77</v>
      </c>
      <c r="D24" t="s">
        <v>21</v>
      </c>
      <c r="E24" t="s">
        <v>38</v>
      </c>
    </row>
    <row r="25" spans="1:5" x14ac:dyDescent="0.45">
      <c r="A25">
        <v>3000</v>
      </c>
      <c r="B25">
        <v>3001</v>
      </c>
      <c r="C25" t="s">
        <v>77</v>
      </c>
      <c r="D25" t="s">
        <v>40</v>
      </c>
      <c r="E25" t="s">
        <v>41</v>
      </c>
    </row>
    <row r="26" spans="1:5" x14ac:dyDescent="0.45">
      <c r="A26">
        <v>3000</v>
      </c>
      <c r="B26">
        <v>3002</v>
      </c>
      <c r="C26" t="s">
        <v>77</v>
      </c>
      <c r="D26" t="s">
        <v>40</v>
      </c>
      <c r="E26" t="s">
        <v>42</v>
      </c>
    </row>
    <row r="27" spans="1:5" x14ac:dyDescent="0.45">
      <c r="A27">
        <v>3000</v>
      </c>
      <c r="B27">
        <v>3003</v>
      </c>
      <c r="C27" t="s">
        <v>77</v>
      </c>
      <c r="D27" t="s">
        <v>40</v>
      </c>
      <c r="E27" t="s">
        <v>43</v>
      </c>
    </row>
    <row r="28" spans="1:5" x14ac:dyDescent="0.45">
      <c r="A28">
        <v>3000</v>
      </c>
      <c r="B28">
        <v>3004</v>
      </c>
      <c r="C28" t="s">
        <v>77</v>
      </c>
      <c r="D28" t="s">
        <v>40</v>
      </c>
      <c r="E28" t="s">
        <v>44</v>
      </c>
    </row>
    <row r="29" spans="1:5" x14ac:dyDescent="0.45">
      <c r="A29">
        <v>3000</v>
      </c>
      <c r="B29">
        <v>3005</v>
      </c>
      <c r="C29" t="s">
        <v>77</v>
      </c>
      <c r="D29" t="s">
        <v>40</v>
      </c>
      <c r="E29" t="s">
        <v>45</v>
      </c>
    </row>
    <row r="30" spans="1:5" x14ac:dyDescent="0.45">
      <c r="A30">
        <v>3000</v>
      </c>
      <c r="B30">
        <v>3006</v>
      </c>
      <c r="C30" t="s">
        <v>77</v>
      </c>
      <c r="D30" t="s">
        <v>40</v>
      </c>
      <c r="E30" t="s">
        <v>46</v>
      </c>
    </row>
    <row r="31" spans="1:5" x14ac:dyDescent="0.45">
      <c r="A31">
        <v>3000</v>
      </c>
      <c r="B31">
        <v>3007</v>
      </c>
      <c r="C31" t="s">
        <v>77</v>
      </c>
      <c r="D31" t="s">
        <v>40</v>
      </c>
      <c r="E31" t="s">
        <v>47</v>
      </c>
    </row>
    <row r="32" spans="1:5" x14ac:dyDescent="0.45">
      <c r="A32">
        <v>3000</v>
      </c>
      <c r="B32">
        <v>3008</v>
      </c>
      <c r="C32" t="s">
        <v>77</v>
      </c>
      <c r="D32" t="s">
        <v>40</v>
      </c>
      <c r="E32" t="s">
        <v>48</v>
      </c>
    </row>
    <row r="33" spans="1:5" x14ac:dyDescent="0.45">
      <c r="A33">
        <v>3000</v>
      </c>
      <c r="B33">
        <v>3009</v>
      </c>
      <c r="C33" t="s">
        <v>77</v>
      </c>
      <c r="D33" t="s">
        <v>40</v>
      </c>
      <c r="E33" t="s">
        <v>49</v>
      </c>
    </row>
    <row r="34" spans="1:5" x14ac:dyDescent="0.45">
      <c r="A34">
        <v>4000</v>
      </c>
      <c r="B34">
        <v>4001</v>
      </c>
      <c r="C34" t="s">
        <v>77</v>
      </c>
      <c r="D34" t="s">
        <v>51</v>
      </c>
      <c r="E34" t="s">
        <v>52</v>
      </c>
    </row>
    <row r="35" spans="1:5" x14ac:dyDescent="0.45">
      <c r="A35">
        <v>4000</v>
      </c>
      <c r="B35">
        <v>4002</v>
      </c>
      <c r="C35" t="s">
        <v>77</v>
      </c>
      <c r="D35" t="s">
        <v>51</v>
      </c>
      <c r="E35" t="s">
        <v>53</v>
      </c>
    </row>
    <row r="36" spans="1:5" x14ac:dyDescent="0.45">
      <c r="A36">
        <v>4000</v>
      </c>
      <c r="B36">
        <v>4003</v>
      </c>
      <c r="C36" t="s">
        <v>77</v>
      </c>
      <c r="D36" t="s">
        <v>51</v>
      </c>
      <c r="E36" t="s">
        <v>54</v>
      </c>
    </row>
    <row r="37" spans="1:5" x14ac:dyDescent="0.45">
      <c r="A37">
        <v>5000</v>
      </c>
      <c r="B37">
        <v>5001</v>
      </c>
      <c r="C37" t="s">
        <v>77</v>
      </c>
      <c r="D37" t="s">
        <v>56</v>
      </c>
      <c r="E37" t="s">
        <v>57</v>
      </c>
    </row>
    <row r="38" spans="1:5" x14ac:dyDescent="0.45">
      <c r="A38">
        <v>5000</v>
      </c>
      <c r="B38">
        <v>5002</v>
      </c>
      <c r="C38" t="s">
        <v>77</v>
      </c>
      <c r="D38" t="s">
        <v>56</v>
      </c>
      <c r="E38" t="s">
        <v>58</v>
      </c>
    </row>
    <row r="39" spans="1:5" x14ac:dyDescent="0.45">
      <c r="A39">
        <v>5000</v>
      </c>
      <c r="B39">
        <v>5003</v>
      </c>
      <c r="C39" t="s">
        <v>77</v>
      </c>
      <c r="D39" t="s">
        <v>56</v>
      </c>
      <c r="E39" t="s">
        <v>59</v>
      </c>
    </row>
    <row r="40" spans="1:5" x14ac:dyDescent="0.45">
      <c r="A40">
        <v>5000</v>
      </c>
      <c r="B40">
        <v>5004</v>
      </c>
      <c r="C40" t="s">
        <v>77</v>
      </c>
      <c r="D40" t="s">
        <v>56</v>
      </c>
      <c r="E40" t="s">
        <v>60</v>
      </c>
    </row>
    <row r="41" spans="1:5" x14ac:dyDescent="0.45">
      <c r="A41">
        <v>5000</v>
      </c>
      <c r="B41">
        <v>5005</v>
      </c>
      <c r="C41" t="s">
        <v>77</v>
      </c>
      <c r="D41" t="s">
        <v>56</v>
      </c>
      <c r="E41" t="s">
        <v>61</v>
      </c>
    </row>
    <row r="42" spans="1:5" x14ac:dyDescent="0.45">
      <c r="A42">
        <v>5000</v>
      </c>
      <c r="B42">
        <v>5006</v>
      </c>
      <c r="C42" t="s">
        <v>77</v>
      </c>
      <c r="D42" t="s">
        <v>56</v>
      </c>
      <c r="E42" t="s">
        <v>62</v>
      </c>
    </row>
    <row r="43" spans="1:5" x14ac:dyDescent="0.45">
      <c r="A43">
        <v>5000</v>
      </c>
      <c r="B43">
        <v>5007</v>
      </c>
      <c r="C43" t="s">
        <v>77</v>
      </c>
      <c r="D43" t="s">
        <v>56</v>
      </c>
      <c r="E43" t="s">
        <v>63</v>
      </c>
    </row>
    <row r="44" spans="1:5" x14ac:dyDescent="0.45">
      <c r="A44">
        <v>5000</v>
      </c>
      <c r="B44">
        <v>5008</v>
      </c>
      <c r="C44" t="s">
        <v>77</v>
      </c>
      <c r="D44" t="s">
        <v>56</v>
      </c>
      <c r="E44" t="s">
        <v>64</v>
      </c>
    </row>
    <row r="45" spans="1:5" x14ac:dyDescent="0.45">
      <c r="A45">
        <v>5000</v>
      </c>
      <c r="B45">
        <v>5009</v>
      </c>
      <c r="C45" t="s">
        <v>77</v>
      </c>
      <c r="D45" t="s">
        <v>56</v>
      </c>
      <c r="E45" t="s">
        <v>65</v>
      </c>
    </row>
    <row r="46" spans="1:5" x14ac:dyDescent="0.45">
      <c r="A46">
        <v>6000</v>
      </c>
      <c r="B46">
        <v>6001</v>
      </c>
      <c r="C46" t="s">
        <v>77</v>
      </c>
      <c r="D46" t="s">
        <v>67</v>
      </c>
      <c r="E46" t="s">
        <v>67</v>
      </c>
    </row>
    <row r="47" spans="1:5" x14ac:dyDescent="0.45">
      <c r="A47">
        <v>6000</v>
      </c>
      <c r="B47">
        <v>6002</v>
      </c>
      <c r="C47" t="s">
        <v>77</v>
      </c>
      <c r="D47" t="s">
        <v>67</v>
      </c>
      <c r="E47" t="s">
        <v>68</v>
      </c>
    </row>
    <row r="48" spans="1:5" x14ac:dyDescent="0.45">
      <c r="A48">
        <v>6000</v>
      </c>
      <c r="B48">
        <v>6003</v>
      </c>
      <c r="C48" t="s">
        <v>77</v>
      </c>
      <c r="D48" t="s">
        <v>67</v>
      </c>
      <c r="E48" t="s">
        <v>69</v>
      </c>
    </row>
    <row r="49" spans="1:5" x14ac:dyDescent="0.45">
      <c r="A49">
        <v>6000</v>
      </c>
      <c r="B49">
        <v>6004</v>
      </c>
      <c r="C49" t="s">
        <v>77</v>
      </c>
      <c r="D49" t="s">
        <v>67</v>
      </c>
      <c r="E49" t="s">
        <v>70</v>
      </c>
    </row>
    <row r="50" spans="1:5" x14ac:dyDescent="0.45">
      <c r="A50">
        <v>6000</v>
      </c>
      <c r="B50">
        <v>6005</v>
      </c>
      <c r="C50" t="s">
        <v>77</v>
      </c>
      <c r="D50" t="s">
        <v>67</v>
      </c>
      <c r="E50" t="s">
        <v>71</v>
      </c>
    </row>
    <row r="51" spans="1:5" x14ac:dyDescent="0.45">
      <c r="A51">
        <v>6000</v>
      </c>
      <c r="B51">
        <v>6006</v>
      </c>
      <c r="C51" t="s">
        <v>77</v>
      </c>
      <c r="D51" t="s">
        <v>67</v>
      </c>
      <c r="E51" t="s">
        <v>72</v>
      </c>
    </row>
  </sheetData>
  <pageMargins left="0.7" right="0.7" top="0.75" bottom="0.75" header="0.3" footer="0.3"/>
  <tableParts count="1">
    <tablePart r:id="rId1"/>
  </tablePart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A04083C-A86A-4DFD-BB0A-ECEE52735B19}">
  <sheetPr codeName="Sheet6">
    <tabColor rgb="FF92D050"/>
  </sheetPr>
  <dimension ref="A1:D955"/>
  <sheetViews>
    <sheetView showGridLines="0" zoomScale="90" zoomScaleNormal="90" workbookViewId="0"/>
  </sheetViews>
  <sheetFormatPr defaultRowHeight="14.25" x14ac:dyDescent="0.45"/>
  <cols>
    <col min="1" max="1" width="10.3984375" bestFit="1" customWidth="1"/>
    <col min="2" max="2" width="13.265625" bestFit="1" customWidth="1"/>
    <col min="3" max="3" width="43.73046875" bestFit="1" customWidth="1"/>
    <col min="4" max="4" width="12.1328125" bestFit="1" customWidth="1"/>
  </cols>
  <sheetData>
    <row r="1" spans="1:4" x14ac:dyDescent="0.45">
      <c r="A1" t="s">
        <v>213</v>
      </c>
      <c r="B1" t="s">
        <v>208</v>
      </c>
      <c r="C1" t="s">
        <v>76</v>
      </c>
      <c r="D1" t="s">
        <v>211</v>
      </c>
    </row>
    <row r="2" spans="1:4" x14ac:dyDescent="0.45">
      <c r="A2" s="25">
        <v>43101</v>
      </c>
      <c r="B2">
        <v>2001</v>
      </c>
      <c r="C2" t="s">
        <v>22</v>
      </c>
      <c r="D2" s="19">
        <v>-379</v>
      </c>
    </row>
    <row r="3" spans="1:4" x14ac:dyDescent="0.45">
      <c r="A3" s="25">
        <v>43101</v>
      </c>
      <c r="B3">
        <v>2002</v>
      </c>
      <c r="C3" t="s">
        <v>23</v>
      </c>
      <c r="D3" s="19">
        <v>-750</v>
      </c>
    </row>
    <row r="4" spans="1:4" x14ac:dyDescent="0.45">
      <c r="A4" s="25">
        <v>43101</v>
      </c>
      <c r="B4">
        <v>2003</v>
      </c>
      <c r="C4" t="s">
        <v>24</v>
      </c>
      <c r="D4" s="19">
        <v>-484</v>
      </c>
    </row>
    <row r="5" spans="1:4" x14ac:dyDescent="0.45">
      <c r="A5" s="25">
        <v>43101</v>
      </c>
      <c r="B5">
        <v>2004</v>
      </c>
      <c r="C5" t="s">
        <v>25</v>
      </c>
      <c r="D5" s="19">
        <v>-154</v>
      </c>
    </row>
    <row r="6" spans="1:4" x14ac:dyDescent="0.45">
      <c r="A6" s="25">
        <v>43101</v>
      </c>
      <c r="B6">
        <v>2005</v>
      </c>
      <c r="C6" t="s">
        <v>26</v>
      </c>
      <c r="D6" s="19">
        <v>-199</v>
      </c>
    </row>
    <row r="7" spans="1:4" x14ac:dyDescent="0.45">
      <c r="A7" s="25">
        <v>43101</v>
      </c>
      <c r="B7">
        <v>2006</v>
      </c>
      <c r="C7" t="s">
        <v>27</v>
      </c>
      <c r="D7" s="19">
        <v>-245</v>
      </c>
    </row>
    <row r="8" spans="1:4" x14ac:dyDescent="0.45">
      <c r="A8" s="25">
        <v>43101</v>
      </c>
      <c r="B8">
        <v>2007</v>
      </c>
      <c r="C8" t="s">
        <v>28</v>
      </c>
      <c r="D8" s="19">
        <v>-575</v>
      </c>
    </row>
    <row r="9" spans="1:4" x14ac:dyDescent="0.45">
      <c r="A9" s="25">
        <v>43101</v>
      </c>
      <c r="B9">
        <v>2008</v>
      </c>
      <c r="C9" t="s">
        <v>29</v>
      </c>
      <c r="D9" s="19">
        <v>-303</v>
      </c>
    </row>
    <row r="10" spans="1:4" x14ac:dyDescent="0.45">
      <c r="A10" s="25">
        <v>43101</v>
      </c>
      <c r="B10">
        <v>2009</v>
      </c>
      <c r="C10" t="s">
        <v>30</v>
      </c>
      <c r="D10" s="19">
        <v>-348</v>
      </c>
    </row>
    <row r="11" spans="1:4" x14ac:dyDescent="0.45">
      <c r="A11" s="25">
        <v>43101</v>
      </c>
      <c r="B11">
        <v>2010</v>
      </c>
      <c r="C11" t="s">
        <v>31</v>
      </c>
      <c r="D11" s="19">
        <v>-177</v>
      </c>
    </row>
    <row r="12" spans="1:4" x14ac:dyDescent="0.45">
      <c r="A12" s="25">
        <v>43101</v>
      </c>
      <c r="B12">
        <v>2011</v>
      </c>
      <c r="C12" t="s">
        <v>32</v>
      </c>
      <c r="D12" s="19">
        <v>-554</v>
      </c>
    </row>
    <row r="13" spans="1:4" x14ac:dyDescent="0.45">
      <c r="A13" s="25">
        <v>43101</v>
      </c>
      <c r="B13">
        <v>2012</v>
      </c>
      <c r="C13" t="s">
        <v>33</v>
      </c>
      <c r="D13" s="19">
        <v>-877</v>
      </c>
    </row>
    <row r="14" spans="1:4" x14ac:dyDescent="0.45">
      <c r="A14" s="25">
        <v>43101</v>
      </c>
      <c r="B14">
        <v>2013</v>
      </c>
      <c r="C14" t="s">
        <v>34</v>
      </c>
      <c r="D14" s="19">
        <v>-595</v>
      </c>
    </row>
    <row r="15" spans="1:4" x14ac:dyDescent="0.45">
      <c r="A15" s="25">
        <v>43101</v>
      </c>
      <c r="B15">
        <v>2014</v>
      </c>
      <c r="C15" t="s">
        <v>35</v>
      </c>
      <c r="D15" s="19">
        <v>-626</v>
      </c>
    </row>
    <row r="16" spans="1:4" x14ac:dyDescent="0.45">
      <c r="A16" s="25">
        <v>43101</v>
      </c>
      <c r="B16">
        <v>2015</v>
      </c>
      <c r="C16" t="s">
        <v>36</v>
      </c>
      <c r="D16" s="19">
        <v>-659</v>
      </c>
    </row>
    <row r="17" spans="1:4" x14ac:dyDescent="0.45">
      <c r="A17" s="25">
        <v>43101</v>
      </c>
      <c r="B17">
        <v>2016</v>
      </c>
      <c r="C17" t="s">
        <v>37</v>
      </c>
      <c r="D17" s="19">
        <v>-435</v>
      </c>
    </row>
    <row r="18" spans="1:4" x14ac:dyDescent="0.45">
      <c r="A18" s="25">
        <v>43101</v>
      </c>
      <c r="B18">
        <v>2017</v>
      </c>
      <c r="C18" t="s">
        <v>38</v>
      </c>
      <c r="D18" s="19">
        <v>-359</v>
      </c>
    </row>
    <row r="19" spans="1:4" x14ac:dyDescent="0.45">
      <c r="A19" s="25">
        <v>43101</v>
      </c>
      <c r="B19">
        <v>3001</v>
      </c>
      <c r="C19" t="s">
        <v>41</v>
      </c>
      <c r="D19" s="19">
        <v>-317</v>
      </c>
    </row>
    <row r="20" spans="1:4" x14ac:dyDescent="0.45">
      <c r="A20" s="25">
        <v>43101</v>
      </c>
      <c r="B20">
        <v>3002</v>
      </c>
      <c r="C20" t="s">
        <v>42</v>
      </c>
      <c r="D20" s="19">
        <v>-618</v>
      </c>
    </row>
    <row r="21" spans="1:4" x14ac:dyDescent="0.45">
      <c r="A21" s="25">
        <v>43101</v>
      </c>
      <c r="B21">
        <v>3003</v>
      </c>
      <c r="C21" t="s">
        <v>43</v>
      </c>
      <c r="D21" s="19">
        <v>-301</v>
      </c>
    </row>
    <row r="22" spans="1:4" x14ac:dyDescent="0.45">
      <c r="A22" s="25">
        <v>43101</v>
      </c>
      <c r="B22">
        <v>3004</v>
      </c>
      <c r="C22" t="s">
        <v>44</v>
      </c>
      <c r="D22" s="19">
        <v>-466</v>
      </c>
    </row>
    <row r="23" spans="1:4" x14ac:dyDescent="0.45">
      <c r="A23" s="25">
        <v>43101</v>
      </c>
      <c r="B23">
        <v>3005</v>
      </c>
      <c r="C23" t="s">
        <v>45</v>
      </c>
      <c r="D23" s="19">
        <v>-465</v>
      </c>
    </row>
    <row r="24" spans="1:4" x14ac:dyDescent="0.45">
      <c r="A24" s="25">
        <v>43101</v>
      </c>
      <c r="B24">
        <v>3006</v>
      </c>
      <c r="C24" t="s">
        <v>46</v>
      </c>
      <c r="D24" s="19">
        <v>-782</v>
      </c>
    </row>
    <row r="25" spans="1:4" x14ac:dyDescent="0.45">
      <c r="A25" s="25">
        <v>43101</v>
      </c>
      <c r="B25">
        <v>3007</v>
      </c>
      <c r="C25" t="s">
        <v>47</v>
      </c>
      <c r="D25" s="19">
        <v>-840</v>
      </c>
    </row>
    <row r="26" spans="1:4" x14ac:dyDescent="0.45">
      <c r="A26" s="25">
        <v>43101</v>
      </c>
      <c r="B26">
        <v>3008</v>
      </c>
      <c r="C26" t="s">
        <v>48</v>
      </c>
      <c r="D26" s="19">
        <v>-511</v>
      </c>
    </row>
    <row r="27" spans="1:4" x14ac:dyDescent="0.45">
      <c r="A27" s="25">
        <v>43101</v>
      </c>
      <c r="B27">
        <v>3009</v>
      </c>
      <c r="C27" t="s">
        <v>49</v>
      </c>
      <c r="D27" s="19">
        <v>-913</v>
      </c>
    </row>
    <row r="28" spans="1:4" x14ac:dyDescent="0.45">
      <c r="A28" s="25">
        <v>43101</v>
      </c>
      <c r="B28">
        <v>4001</v>
      </c>
      <c r="C28" t="s">
        <v>52</v>
      </c>
      <c r="D28" s="19">
        <v>-93</v>
      </c>
    </row>
    <row r="29" spans="1:4" x14ac:dyDescent="0.45">
      <c r="A29" s="25">
        <v>43101</v>
      </c>
      <c r="B29">
        <v>4002</v>
      </c>
      <c r="C29" t="s">
        <v>53</v>
      </c>
      <c r="D29" s="19">
        <v>-514</v>
      </c>
    </row>
    <row r="30" spans="1:4" x14ac:dyDescent="0.45">
      <c r="A30" s="25">
        <v>43101</v>
      </c>
      <c r="B30">
        <v>4003</v>
      </c>
      <c r="C30" t="s">
        <v>54</v>
      </c>
      <c r="D30" s="19">
        <v>-514</v>
      </c>
    </row>
    <row r="31" spans="1:4" x14ac:dyDescent="0.45">
      <c r="A31" s="25">
        <v>43101</v>
      </c>
      <c r="B31">
        <v>5001</v>
      </c>
      <c r="C31" t="s">
        <v>57</v>
      </c>
      <c r="D31" s="19">
        <v>-41283</v>
      </c>
    </row>
    <row r="32" spans="1:4" x14ac:dyDescent="0.45">
      <c r="A32" s="25">
        <v>43101</v>
      </c>
      <c r="B32">
        <v>5002</v>
      </c>
      <c r="C32" t="s">
        <v>58</v>
      </c>
      <c r="D32" s="19">
        <v>-342</v>
      </c>
    </row>
    <row r="33" spans="1:4" x14ac:dyDescent="0.45">
      <c r="A33" s="25">
        <v>43101</v>
      </c>
      <c r="B33">
        <v>5003</v>
      </c>
      <c r="C33" t="s">
        <v>59</v>
      </c>
      <c r="D33" s="19">
        <v>-83592</v>
      </c>
    </row>
    <row r="34" spans="1:4" x14ac:dyDescent="0.45">
      <c r="A34" s="25">
        <v>43101</v>
      </c>
      <c r="B34">
        <v>5004</v>
      </c>
      <c r="C34" t="s">
        <v>60</v>
      </c>
      <c r="D34" s="19">
        <v>-42533</v>
      </c>
    </row>
    <row r="35" spans="1:4" x14ac:dyDescent="0.45">
      <c r="A35" s="25">
        <v>43101</v>
      </c>
      <c r="B35">
        <v>5005</v>
      </c>
      <c r="C35" t="s">
        <v>61</v>
      </c>
      <c r="D35" s="19">
        <v>-16856</v>
      </c>
    </row>
    <row r="36" spans="1:4" x14ac:dyDescent="0.45">
      <c r="A36" s="25">
        <v>43101</v>
      </c>
      <c r="B36">
        <v>5006</v>
      </c>
      <c r="C36" t="s">
        <v>62</v>
      </c>
      <c r="D36" s="19">
        <v>-60199</v>
      </c>
    </row>
    <row r="37" spans="1:4" x14ac:dyDescent="0.45">
      <c r="A37" s="25">
        <v>43101</v>
      </c>
      <c r="B37">
        <v>5007</v>
      </c>
      <c r="C37" t="s">
        <v>63</v>
      </c>
      <c r="D37" s="19">
        <v>-46039</v>
      </c>
    </row>
    <row r="38" spans="1:4" x14ac:dyDescent="0.45">
      <c r="A38" s="25">
        <v>43101</v>
      </c>
      <c r="B38">
        <v>5008</v>
      </c>
      <c r="C38" t="s">
        <v>64</v>
      </c>
      <c r="D38" s="19">
        <v>-15221</v>
      </c>
    </row>
    <row r="39" spans="1:4" x14ac:dyDescent="0.45">
      <c r="A39" s="25">
        <v>43101</v>
      </c>
      <c r="B39">
        <v>5009</v>
      </c>
      <c r="C39" t="s">
        <v>65</v>
      </c>
      <c r="D39" s="19">
        <v>-26669</v>
      </c>
    </row>
    <row r="40" spans="1:4" x14ac:dyDescent="0.45">
      <c r="A40" s="25">
        <v>43101</v>
      </c>
      <c r="B40">
        <v>6002</v>
      </c>
      <c r="C40" t="s">
        <v>68</v>
      </c>
      <c r="D40" s="19">
        <v>-749</v>
      </c>
    </row>
    <row r="41" spans="1:4" x14ac:dyDescent="0.45">
      <c r="A41" s="25">
        <v>43101</v>
      </c>
      <c r="B41">
        <v>6003</v>
      </c>
      <c r="C41" t="s">
        <v>69</v>
      </c>
      <c r="D41" s="19">
        <v>-411</v>
      </c>
    </row>
    <row r="42" spans="1:4" x14ac:dyDescent="0.45">
      <c r="A42" s="25">
        <v>43101</v>
      </c>
      <c r="B42">
        <v>6004</v>
      </c>
      <c r="C42" t="s">
        <v>70</v>
      </c>
      <c r="D42" s="19">
        <v>-897</v>
      </c>
    </row>
    <row r="43" spans="1:4" x14ac:dyDescent="0.45">
      <c r="A43" s="25">
        <v>43101</v>
      </c>
      <c r="B43">
        <v>6005</v>
      </c>
      <c r="C43" t="s">
        <v>71</v>
      </c>
      <c r="D43" s="19">
        <v>-365</v>
      </c>
    </row>
    <row r="44" spans="1:4" x14ac:dyDescent="0.45">
      <c r="A44" s="25">
        <v>43101</v>
      </c>
      <c r="B44">
        <v>6006</v>
      </c>
      <c r="C44" t="s">
        <v>72</v>
      </c>
      <c r="D44" s="19">
        <v>-583</v>
      </c>
    </row>
    <row r="45" spans="1:4" x14ac:dyDescent="0.45">
      <c r="A45" s="25">
        <v>43132</v>
      </c>
      <c r="B45">
        <v>2001</v>
      </c>
      <c r="C45" t="s">
        <v>22</v>
      </c>
      <c r="D45" s="19">
        <v>-475</v>
      </c>
    </row>
    <row r="46" spans="1:4" x14ac:dyDescent="0.45">
      <c r="A46" s="25">
        <v>43132</v>
      </c>
      <c r="B46">
        <v>2002</v>
      </c>
      <c r="C46" t="s">
        <v>23</v>
      </c>
      <c r="D46" s="19">
        <v>-331</v>
      </c>
    </row>
    <row r="47" spans="1:4" x14ac:dyDescent="0.45">
      <c r="A47" s="25">
        <v>43132</v>
      </c>
      <c r="B47">
        <v>2003</v>
      </c>
      <c r="C47" t="s">
        <v>24</v>
      </c>
      <c r="D47" s="19">
        <v>-383</v>
      </c>
    </row>
    <row r="48" spans="1:4" x14ac:dyDescent="0.45">
      <c r="A48" s="25">
        <v>43132</v>
      </c>
      <c r="B48">
        <v>2004</v>
      </c>
      <c r="C48" t="s">
        <v>25</v>
      </c>
      <c r="D48" s="19">
        <v>-610</v>
      </c>
    </row>
    <row r="49" spans="1:4" x14ac:dyDescent="0.45">
      <c r="A49" s="25">
        <v>43132</v>
      </c>
      <c r="B49">
        <v>2005</v>
      </c>
      <c r="C49" t="s">
        <v>26</v>
      </c>
      <c r="D49" s="19">
        <v>-239</v>
      </c>
    </row>
    <row r="50" spans="1:4" x14ac:dyDescent="0.45">
      <c r="A50" s="25">
        <v>43132</v>
      </c>
      <c r="B50">
        <v>2006</v>
      </c>
      <c r="C50" t="s">
        <v>27</v>
      </c>
      <c r="D50" s="19">
        <v>-599</v>
      </c>
    </row>
    <row r="51" spans="1:4" x14ac:dyDescent="0.45">
      <c r="A51" s="25">
        <v>43132</v>
      </c>
      <c r="B51">
        <v>2007</v>
      </c>
      <c r="C51" t="s">
        <v>28</v>
      </c>
      <c r="D51" s="19">
        <v>-484</v>
      </c>
    </row>
    <row r="52" spans="1:4" x14ac:dyDescent="0.45">
      <c r="A52" s="25">
        <v>43132</v>
      </c>
      <c r="B52">
        <v>2008</v>
      </c>
      <c r="C52" t="s">
        <v>29</v>
      </c>
      <c r="D52" s="19">
        <v>-21</v>
      </c>
    </row>
    <row r="53" spans="1:4" x14ac:dyDescent="0.45">
      <c r="A53" s="25">
        <v>43132</v>
      </c>
      <c r="B53">
        <v>2009</v>
      </c>
      <c r="C53" t="s">
        <v>30</v>
      </c>
      <c r="D53" s="19">
        <v>-97</v>
      </c>
    </row>
    <row r="54" spans="1:4" x14ac:dyDescent="0.45">
      <c r="A54" s="25">
        <v>43132</v>
      </c>
      <c r="B54">
        <v>2010</v>
      </c>
      <c r="C54" t="s">
        <v>31</v>
      </c>
      <c r="D54" s="19">
        <v>-183</v>
      </c>
    </row>
    <row r="55" spans="1:4" x14ac:dyDescent="0.45">
      <c r="A55" s="25">
        <v>43132</v>
      </c>
      <c r="B55">
        <v>2011</v>
      </c>
      <c r="C55" t="s">
        <v>32</v>
      </c>
      <c r="D55" s="19">
        <v>-938</v>
      </c>
    </row>
    <row r="56" spans="1:4" x14ac:dyDescent="0.45">
      <c r="A56" s="25">
        <v>43132</v>
      </c>
      <c r="B56">
        <v>2012</v>
      </c>
      <c r="C56" t="s">
        <v>33</v>
      </c>
      <c r="D56" s="19">
        <v>-378</v>
      </c>
    </row>
    <row r="57" spans="1:4" x14ac:dyDescent="0.45">
      <c r="A57" s="25">
        <v>43132</v>
      </c>
      <c r="B57">
        <v>2013</v>
      </c>
      <c r="C57" t="s">
        <v>34</v>
      </c>
      <c r="D57" s="19">
        <v>-492</v>
      </c>
    </row>
    <row r="58" spans="1:4" x14ac:dyDescent="0.45">
      <c r="A58" s="25">
        <v>43132</v>
      </c>
      <c r="B58">
        <v>2014</v>
      </c>
      <c r="C58" t="s">
        <v>35</v>
      </c>
      <c r="D58" s="19">
        <v>-187</v>
      </c>
    </row>
    <row r="59" spans="1:4" x14ac:dyDescent="0.45">
      <c r="A59" s="25">
        <v>43132</v>
      </c>
      <c r="B59">
        <v>2015</v>
      </c>
      <c r="C59" t="s">
        <v>36</v>
      </c>
      <c r="D59" s="19">
        <v>-678</v>
      </c>
    </row>
    <row r="60" spans="1:4" x14ac:dyDescent="0.45">
      <c r="A60" s="25">
        <v>43132</v>
      </c>
      <c r="B60">
        <v>2016</v>
      </c>
      <c r="C60" t="s">
        <v>37</v>
      </c>
      <c r="D60" s="19">
        <v>-777</v>
      </c>
    </row>
    <row r="61" spans="1:4" x14ac:dyDescent="0.45">
      <c r="A61" s="25">
        <v>43132</v>
      </c>
      <c r="B61">
        <v>2017</v>
      </c>
      <c r="C61" t="s">
        <v>38</v>
      </c>
      <c r="D61" s="19">
        <v>-919</v>
      </c>
    </row>
    <row r="62" spans="1:4" x14ac:dyDescent="0.45">
      <c r="A62" s="25">
        <v>43132</v>
      </c>
      <c r="B62">
        <v>3001</v>
      </c>
      <c r="C62" t="s">
        <v>41</v>
      </c>
      <c r="D62" s="19">
        <v>-756</v>
      </c>
    </row>
    <row r="63" spans="1:4" x14ac:dyDescent="0.45">
      <c r="A63" s="25">
        <v>43132</v>
      </c>
      <c r="B63">
        <v>3002</v>
      </c>
      <c r="C63" t="s">
        <v>42</v>
      </c>
      <c r="D63" s="19">
        <v>-517</v>
      </c>
    </row>
    <row r="64" spans="1:4" x14ac:dyDescent="0.45">
      <c r="A64" s="25">
        <v>43132</v>
      </c>
      <c r="B64">
        <v>3003</v>
      </c>
      <c r="C64" t="s">
        <v>43</v>
      </c>
      <c r="D64" s="19">
        <v>-257</v>
      </c>
    </row>
    <row r="65" spans="1:4" x14ac:dyDescent="0.45">
      <c r="A65" s="25">
        <v>43132</v>
      </c>
      <c r="B65">
        <v>3004</v>
      </c>
      <c r="C65" t="s">
        <v>44</v>
      </c>
      <c r="D65" s="19">
        <v>-743</v>
      </c>
    </row>
    <row r="66" spans="1:4" x14ac:dyDescent="0.45">
      <c r="A66" s="25">
        <v>43132</v>
      </c>
      <c r="B66">
        <v>3005</v>
      </c>
      <c r="C66" t="s">
        <v>45</v>
      </c>
      <c r="D66" s="19">
        <v>-81</v>
      </c>
    </row>
    <row r="67" spans="1:4" x14ac:dyDescent="0.45">
      <c r="A67" s="25">
        <v>43132</v>
      </c>
      <c r="B67">
        <v>3006</v>
      </c>
      <c r="C67" t="s">
        <v>46</v>
      </c>
      <c r="D67" s="19">
        <v>-202</v>
      </c>
    </row>
    <row r="68" spans="1:4" x14ac:dyDescent="0.45">
      <c r="A68" s="25">
        <v>43132</v>
      </c>
      <c r="B68">
        <v>3007</v>
      </c>
      <c r="C68" t="s">
        <v>47</v>
      </c>
      <c r="D68" s="19">
        <v>-31</v>
      </c>
    </row>
    <row r="69" spans="1:4" x14ac:dyDescent="0.45">
      <c r="A69" s="25">
        <v>43132</v>
      </c>
      <c r="B69">
        <v>3008</v>
      </c>
      <c r="C69" t="s">
        <v>48</v>
      </c>
      <c r="D69" s="19">
        <v>-865</v>
      </c>
    </row>
    <row r="70" spans="1:4" x14ac:dyDescent="0.45">
      <c r="A70" s="25">
        <v>43132</v>
      </c>
      <c r="B70">
        <v>3009</v>
      </c>
      <c r="C70" t="s">
        <v>49</v>
      </c>
      <c r="D70" s="19">
        <v>-704</v>
      </c>
    </row>
    <row r="71" spans="1:4" x14ac:dyDescent="0.45">
      <c r="A71" s="25">
        <v>43132</v>
      </c>
      <c r="B71">
        <v>4001</v>
      </c>
      <c r="C71" t="s">
        <v>52</v>
      </c>
      <c r="D71" s="19">
        <v>-730</v>
      </c>
    </row>
    <row r="72" spans="1:4" x14ac:dyDescent="0.45">
      <c r="A72" s="25">
        <v>43132</v>
      </c>
      <c r="B72">
        <v>4002</v>
      </c>
      <c r="C72" t="s">
        <v>53</v>
      </c>
      <c r="D72" s="19">
        <v>-813</v>
      </c>
    </row>
    <row r="73" spans="1:4" x14ac:dyDescent="0.45">
      <c r="A73" s="25">
        <v>43132</v>
      </c>
      <c r="B73">
        <v>4003</v>
      </c>
      <c r="C73" t="s">
        <v>54</v>
      </c>
      <c r="D73" s="19">
        <v>-911</v>
      </c>
    </row>
    <row r="74" spans="1:4" x14ac:dyDescent="0.45">
      <c r="A74" s="25">
        <v>43132</v>
      </c>
      <c r="B74">
        <v>5001</v>
      </c>
      <c r="C74" t="s">
        <v>57</v>
      </c>
      <c r="D74" s="19">
        <v>-45441</v>
      </c>
    </row>
    <row r="75" spans="1:4" x14ac:dyDescent="0.45">
      <c r="A75" s="25">
        <v>43132</v>
      </c>
      <c r="B75">
        <v>5002</v>
      </c>
      <c r="C75" t="s">
        <v>58</v>
      </c>
      <c r="D75" s="19">
        <v>-10988</v>
      </c>
    </row>
    <row r="76" spans="1:4" x14ac:dyDescent="0.45">
      <c r="A76" s="25">
        <v>43132</v>
      </c>
      <c r="B76">
        <v>5003</v>
      </c>
      <c r="C76" t="s">
        <v>59</v>
      </c>
      <c r="D76" s="19">
        <v>-958</v>
      </c>
    </row>
    <row r="77" spans="1:4" x14ac:dyDescent="0.45">
      <c r="A77" s="25">
        <v>43132</v>
      </c>
      <c r="B77">
        <v>5004</v>
      </c>
      <c r="C77" t="s">
        <v>60</v>
      </c>
      <c r="D77" s="19">
        <v>-48483</v>
      </c>
    </row>
    <row r="78" spans="1:4" x14ac:dyDescent="0.45">
      <c r="A78" s="25">
        <v>43132</v>
      </c>
      <c r="B78">
        <v>5005</v>
      </c>
      <c r="C78" t="s">
        <v>61</v>
      </c>
      <c r="D78" s="19">
        <v>-83432</v>
      </c>
    </row>
    <row r="79" spans="1:4" x14ac:dyDescent="0.45">
      <c r="A79" s="25">
        <v>43132</v>
      </c>
      <c r="B79">
        <v>5006</v>
      </c>
      <c r="C79" t="s">
        <v>62</v>
      </c>
      <c r="D79" s="19">
        <v>-72316</v>
      </c>
    </row>
    <row r="80" spans="1:4" x14ac:dyDescent="0.45">
      <c r="A80" s="25">
        <v>43132</v>
      </c>
      <c r="B80">
        <v>5007</v>
      </c>
      <c r="C80" t="s">
        <v>63</v>
      </c>
      <c r="D80" s="19">
        <v>-69752</v>
      </c>
    </row>
    <row r="81" spans="1:4" x14ac:dyDescent="0.45">
      <c r="A81" s="25">
        <v>43132</v>
      </c>
      <c r="B81">
        <v>5008</v>
      </c>
      <c r="C81" t="s">
        <v>64</v>
      </c>
      <c r="D81" s="19">
        <v>-77901</v>
      </c>
    </row>
    <row r="82" spans="1:4" x14ac:dyDescent="0.45">
      <c r="A82" s="25">
        <v>43132</v>
      </c>
      <c r="B82">
        <v>5009</v>
      </c>
      <c r="C82" t="s">
        <v>65</v>
      </c>
      <c r="D82" s="19">
        <v>-49493</v>
      </c>
    </row>
    <row r="83" spans="1:4" x14ac:dyDescent="0.45">
      <c r="A83" s="25">
        <v>43132</v>
      </c>
      <c r="B83">
        <v>6002</v>
      </c>
      <c r="C83" t="s">
        <v>68</v>
      </c>
      <c r="D83" s="19">
        <v>-794</v>
      </c>
    </row>
    <row r="84" spans="1:4" x14ac:dyDescent="0.45">
      <c r="A84" s="25">
        <v>43132</v>
      </c>
      <c r="B84">
        <v>6003</v>
      </c>
      <c r="C84" t="s">
        <v>69</v>
      </c>
      <c r="D84" s="19">
        <v>-497</v>
      </c>
    </row>
    <row r="85" spans="1:4" x14ac:dyDescent="0.45">
      <c r="A85" s="25">
        <v>43132</v>
      </c>
      <c r="B85">
        <v>6004</v>
      </c>
      <c r="C85" t="s">
        <v>70</v>
      </c>
      <c r="D85" s="19">
        <v>-668</v>
      </c>
    </row>
    <row r="86" spans="1:4" x14ac:dyDescent="0.45">
      <c r="A86" s="25">
        <v>43132</v>
      </c>
      <c r="B86">
        <v>6005</v>
      </c>
      <c r="C86" t="s">
        <v>71</v>
      </c>
      <c r="D86" s="19">
        <v>-223</v>
      </c>
    </row>
    <row r="87" spans="1:4" x14ac:dyDescent="0.45">
      <c r="A87" s="25">
        <v>43132</v>
      </c>
      <c r="B87">
        <v>6006</v>
      </c>
      <c r="C87" t="s">
        <v>72</v>
      </c>
      <c r="D87" s="19">
        <v>-144</v>
      </c>
    </row>
    <row r="88" spans="1:4" x14ac:dyDescent="0.45">
      <c r="A88" s="25">
        <v>43160</v>
      </c>
      <c r="B88">
        <v>2001</v>
      </c>
      <c r="C88" t="s">
        <v>22</v>
      </c>
      <c r="D88" s="19">
        <v>-686</v>
      </c>
    </row>
    <row r="89" spans="1:4" x14ac:dyDescent="0.45">
      <c r="A89" s="25">
        <v>43160</v>
      </c>
      <c r="B89">
        <v>2002</v>
      </c>
      <c r="C89" t="s">
        <v>23</v>
      </c>
      <c r="D89" s="19">
        <v>-843</v>
      </c>
    </row>
    <row r="90" spans="1:4" x14ac:dyDescent="0.45">
      <c r="A90" s="25">
        <v>43160</v>
      </c>
      <c r="B90">
        <v>2003</v>
      </c>
      <c r="C90" t="s">
        <v>24</v>
      </c>
      <c r="D90" s="19">
        <v>-986</v>
      </c>
    </row>
    <row r="91" spans="1:4" x14ac:dyDescent="0.45">
      <c r="A91" s="25">
        <v>43160</v>
      </c>
      <c r="B91">
        <v>2004</v>
      </c>
      <c r="C91" t="s">
        <v>25</v>
      </c>
      <c r="D91" s="19">
        <v>-683</v>
      </c>
    </row>
    <row r="92" spans="1:4" x14ac:dyDescent="0.45">
      <c r="A92" s="25">
        <v>43160</v>
      </c>
      <c r="B92">
        <v>2005</v>
      </c>
      <c r="C92" t="s">
        <v>26</v>
      </c>
      <c r="D92" s="19">
        <v>-842</v>
      </c>
    </row>
    <row r="93" spans="1:4" x14ac:dyDescent="0.45">
      <c r="A93" s="25">
        <v>43160</v>
      </c>
      <c r="B93">
        <v>2006</v>
      </c>
      <c r="C93" t="s">
        <v>27</v>
      </c>
      <c r="D93" s="19">
        <v>-353</v>
      </c>
    </row>
    <row r="94" spans="1:4" x14ac:dyDescent="0.45">
      <c r="A94" s="25">
        <v>43160</v>
      </c>
      <c r="B94">
        <v>2007</v>
      </c>
      <c r="C94" t="s">
        <v>28</v>
      </c>
      <c r="D94" s="19">
        <v>-35</v>
      </c>
    </row>
    <row r="95" spans="1:4" x14ac:dyDescent="0.45">
      <c r="A95" s="25">
        <v>43160</v>
      </c>
      <c r="B95">
        <v>2008</v>
      </c>
      <c r="C95" t="s">
        <v>29</v>
      </c>
      <c r="D95" s="19">
        <v>-534</v>
      </c>
    </row>
    <row r="96" spans="1:4" x14ac:dyDescent="0.45">
      <c r="A96" s="25">
        <v>43160</v>
      </c>
      <c r="B96">
        <v>2009</v>
      </c>
      <c r="C96" t="s">
        <v>30</v>
      </c>
      <c r="D96" s="19">
        <v>-396</v>
      </c>
    </row>
    <row r="97" spans="1:4" x14ac:dyDescent="0.45">
      <c r="A97" s="25">
        <v>43160</v>
      </c>
      <c r="B97">
        <v>2010</v>
      </c>
      <c r="C97" t="s">
        <v>31</v>
      </c>
      <c r="D97" s="19">
        <v>-123</v>
      </c>
    </row>
    <row r="98" spans="1:4" x14ac:dyDescent="0.45">
      <c r="A98" s="25">
        <v>43160</v>
      </c>
      <c r="B98">
        <v>2011</v>
      </c>
      <c r="C98" t="s">
        <v>32</v>
      </c>
      <c r="D98" s="19">
        <v>-605</v>
      </c>
    </row>
    <row r="99" spans="1:4" x14ac:dyDescent="0.45">
      <c r="A99" s="25">
        <v>43160</v>
      </c>
      <c r="B99">
        <v>2012</v>
      </c>
      <c r="C99" t="s">
        <v>33</v>
      </c>
      <c r="D99" s="19">
        <v>-94</v>
      </c>
    </row>
    <row r="100" spans="1:4" x14ac:dyDescent="0.45">
      <c r="A100" s="25">
        <v>43160</v>
      </c>
      <c r="B100">
        <v>2013</v>
      </c>
      <c r="C100" t="s">
        <v>34</v>
      </c>
      <c r="D100" s="19">
        <v>-406</v>
      </c>
    </row>
    <row r="101" spans="1:4" x14ac:dyDescent="0.45">
      <c r="A101" s="25">
        <v>43160</v>
      </c>
      <c r="B101">
        <v>2014</v>
      </c>
      <c r="C101" t="s">
        <v>35</v>
      </c>
      <c r="D101" s="19">
        <v>-469</v>
      </c>
    </row>
    <row r="102" spans="1:4" x14ac:dyDescent="0.45">
      <c r="A102" s="25">
        <v>43160</v>
      </c>
      <c r="B102">
        <v>2015</v>
      </c>
      <c r="C102" t="s">
        <v>36</v>
      </c>
      <c r="D102" s="19">
        <v>-228</v>
      </c>
    </row>
    <row r="103" spans="1:4" x14ac:dyDescent="0.45">
      <c r="A103" s="25">
        <v>43160</v>
      </c>
      <c r="B103">
        <v>2016</v>
      </c>
      <c r="C103" t="s">
        <v>37</v>
      </c>
      <c r="D103" s="19">
        <v>-17</v>
      </c>
    </row>
    <row r="104" spans="1:4" x14ac:dyDescent="0.45">
      <c r="A104" s="25">
        <v>43160</v>
      </c>
      <c r="B104">
        <v>2017</v>
      </c>
      <c r="C104" t="s">
        <v>38</v>
      </c>
      <c r="D104" s="19">
        <v>-950</v>
      </c>
    </row>
    <row r="105" spans="1:4" x14ac:dyDescent="0.45">
      <c r="A105" s="25">
        <v>43160</v>
      </c>
      <c r="B105">
        <v>3001</v>
      </c>
      <c r="C105" t="s">
        <v>41</v>
      </c>
      <c r="D105" s="19">
        <v>-270</v>
      </c>
    </row>
    <row r="106" spans="1:4" x14ac:dyDescent="0.45">
      <c r="A106" s="25">
        <v>43160</v>
      </c>
      <c r="B106">
        <v>3002</v>
      </c>
      <c r="C106" t="s">
        <v>42</v>
      </c>
      <c r="D106" s="19">
        <v>-557</v>
      </c>
    </row>
    <row r="107" spans="1:4" x14ac:dyDescent="0.45">
      <c r="A107" s="25">
        <v>43160</v>
      </c>
      <c r="B107">
        <v>3003</v>
      </c>
      <c r="C107" t="s">
        <v>43</v>
      </c>
      <c r="D107" s="19">
        <v>-328</v>
      </c>
    </row>
    <row r="108" spans="1:4" x14ac:dyDescent="0.45">
      <c r="A108" s="25">
        <v>43160</v>
      </c>
      <c r="B108">
        <v>3004</v>
      </c>
      <c r="C108" t="s">
        <v>44</v>
      </c>
      <c r="D108" s="19">
        <v>-731</v>
      </c>
    </row>
    <row r="109" spans="1:4" x14ac:dyDescent="0.45">
      <c r="A109" s="25">
        <v>43160</v>
      </c>
      <c r="B109">
        <v>3005</v>
      </c>
      <c r="C109" t="s">
        <v>45</v>
      </c>
      <c r="D109" s="19">
        <v>-589</v>
      </c>
    </row>
    <row r="110" spans="1:4" x14ac:dyDescent="0.45">
      <c r="A110" s="25">
        <v>43160</v>
      </c>
      <c r="B110">
        <v>3006</v>
      </c>
      <c r="C110" t="s">
        <v>46</v>
      </c>
      <c r="D110" s="19">
        <v>-354</v>
      </c>
    </row>
    <row r="111" spans="1:4" x14ac:dyDescent="0.45">
      <c r="A111" s="25">
        <v>43160</v>
      </c>
      <c r="B111">
        <v>3007</v>
      </c>
      <c r="C111" t="s">
        <v>47</v>
      </c>
      <c r="D111" s="19">
        <v>-560</v>
      </c>
    </row>
    <row r="112" spans="1:4" x14ac:dyDescent="0.45">
      <c r="A112" s="25">
        <v>43160</v>
      </c>
      <c r="B112">
        <v>3008</v>
      </c>
      <c r="C112" t="s">
        <v>48</v>
      </c>
      <c r="D112" s="19">
        <v>-887</v>
      </c>
    </row>
    <row r="113" spans="1:4" x14ac:dyDescent="0.45">
      <c r="A113" s="25">
        <v>43160</v>
      </c>
      <c r="B113">
        <v>3009</v>
      </c>
      <c r="C113" t="s">
        <v>49</v>
      </c>
      <c r="D113" s="19">
        <v>-645</v>
      </c>
    </row>
    <row r="114" spans="1:4" x14ac:dyDescent="0.45">
      <c r="A114" s="25">
        <v>43160</v>
      </c>
      <c r="B114">
        <v>4001</v>
      </c>
      <c r="C114" t="s">
        <v>52</v>
      </c>
      <c r="D114" s="19">
        <v>-273</v>
      </c>
    </row>
    <row r="115" spans="1:4" x14ac:dyDescent="0.45">
      <c r="A115" s="25">
        <v>43160</v>
      </c>
      <c r="B115">
        <v>4002</v>
      </c>
      <c r="C115" t="s">
        <v>53</v>
      </c>
      <c r="D115" s="19">
        <v>-446</v>
      </c>
    </row>
    <row r="116" spans="1:4" x14ac:dyDescent="0.45">
      <c r="A116" s="25">
        <v>43160</v>
      </c>
      <c r="B116">
        <v>4003</v>
      </c>
      <c r="C116" t="s">
        <v>54</v>
      </c>
      <c r="D116" s="19">
        <v>-234</v>
      </c>
    </row>
    <row r="117" spans="1:4" x14ac:dyDescent="0.45">
      <c r="A117" s="25">
        <v>43160</v>
      </c>
      <c r="B117">
        <v>5001</v>
      </c>
      <c r="C117" t="s">
        <v>57</v>
      </c>
      <c r="D117" s="19">
        <v>-38674</v>
      </c>
    </row>
    <row r="118" spans="1:4" x14ac:dyDescent="0.45">
      <c r="A118" s="25">
        <v>43160</v>
      </c>
      <c r="B118">
        <v>5002</v>
      </c>
      <c r="C118" t="s">
        <v>58</v>
      </c>
      <c r="D118" s="19">
        <v>-95042</v>
      </c>
    </row>
    <row r="119" spans="1:4" x14ac:dyDescent="0.45">
      <c r="A119" s="25">
        <v>43160</v>
      </c>
      <c r="B119">
        <v>5003</v>
      </c>
      <c r="C119" t="s">
        <v>59</v>
      </c>
      <c r="D119" s="19">
        <v>-50491</v>
      </c>
    </row>
    <row r="120" spans="1:4" x14ac:dyDescent="0.45">
      <c r="A120" s="25">
        <v>43160</v>
      </c>
      <c r="B120">
        <v>5004</v>
      </c>
      <c r="C120" t="s">
        <v>60</v>
      </c>
      <c r="D120" s="19">
        <v>-40741</v>
      </c>
    </row>
    <row r="121" spans="1:4" x14ac:dyDescent="0.45">
      <c r="A121" s="25">
        <v>43160</v>
      </c>
      <c r="B121">
        <v>5005</v>
      </c>
      <c r="C121" t="s">
        <v>61</v>
      </c>
      <c r="D121" s="19">
        <v>-95985</v>
      </c>
    </row>
    <row r="122" spans="1:4" x14ac:dyDescent="0.45">
      <c r="A122" s="25">
        <v>43160</v>
      </c>
      <c r="B122">
        <v>5006</v>
      </c>
      <c r="C122" t="s">
        <v>62</v>
      </c>
      <c r="D122" s="19">
        <v>-98858</v>
      </c>
    </row>
    <row r="123" spans="1:4" x14ac:dyDescent="0.45">
      <c r="A123" s="25">
        <v>43160</v>
      </c>
      <c r="B123">
        <v>5007</v>
      </c>
      <c r="C123" t="s">
        <v>63</v>
      </c>
      <c r="D123" s="19">
        <v>-57658</v>
      </c>
    </row>
    <row r="124" spans="1:4" x14ac:dyDescent="0.45">
      <c r="A124" s="25">
        <v>43160</v>
      </c>
      <c r="B124">
        <v>5008</v>
      </c>
      <c r="C124" t="s">
        <v>64</v>
      </c>
      <c r="D124" s="19">
        <v>-63361</v>
      </c>
    </row>
    <row r="125" spans="1:4" x14ac:dyDescent="0.45">
      <c r="A125" s="25">
        <v>43160</v>
      </c>
      <c r="B125">
        <v>5009</v>
      </c>
      <c r="C125" t="s">
        <v>65</v>
      </c>
      <c r="D125" s="19">
        <v>-74859</v>
      </c>
    </row>
    <row r="126" spans="1:4" x14ac:dyDescent="0.45">
      <c r="A126" s="25">
        <v>43160</v>
      </c>
      <c r="B126">
        <v>6002</v>
      </c>
      <c r="C126" t="s">
        <v>68</v>
      </c>
      <c r="D126" s="19">
        <v>-790</v>
      </c>
    </row>
    <row r="127" spans="1:4" x14ac:dyDescent="0.45">
      <c r="A127" s="25">
        <v>43160</v>
      </c>
      <c r="B127">
        <v>6003</v>
      </c>
      <c r="C127" t="s">
        <v>69</v>
      </c>
      <c r="D127" s="19">
        <v>-553</v>
      </c>
    </row>
    <row r="128" spans="1:4" x14ac:dyDescent="0.45">
      <c r="A128" s="25">
        <v>43160</v>
      </c>
      <c r="B128">
        <v>6004</v>
      </c>
      <c r="C128" t="s">
        <v>70</v>
      </c>
      <c r="D128" s="19">
        <v>-98</v>
      </c>
    </row>
    <row r="129" spans="1:4" x14ac:dyDescent="0.45">
      <c r="A129" s="25">
        <v>43160</v>
      </c>
      <c r="B129">
        <v>6005</v>
      </c>
      <c r="C129" t="s">
        <v>71</v>
      </c>
      <c r="D129" s="19">
        <v>-392</v>
      </c>
    </row>
    <row r="130" spans="1:4" x14ac:dyDescent="0.45">
      <c r="A130" s="25">
        <v>43160</v>
      </c>
      <c r="B130">
        <v>6006</v>
      </c>
      <c r="C130" t="s">
        <v>72</v>
      </c>
      <c r="D130" s="19">
        <v>-573</v>
      </c>
    </row>
    <row r="131" spans="1:4" x14ac:dyDescent="0.45">
      <c r="A131" s="25">
        <v>43191</v>
      </c>
      <c r="B131">
        <v>2001</v>
      </c>
      <c r="C131" t="s">
        <v>22</v>
      </c>
      <c r="D131" s="19">
        <v>-946</v>
      </c>
    </row>
    <row r="132" spans="1:4" x14ac:dyDescent="0.45">
      <c r="A132" s="25">
        <v>43191</v>
      </c>
      <c r="B132">
        <v>2002</v>
      </c>
      <c r="C132" t="s">
        <v>23</v>
      </c>
      <c r="D132" s="19">
        <v>-932</v>
      </c>
    </row>
    <row r="133" spans="1:4" x14ac:dyDescent="0.45">
      <c r="A133" s="25">
        <v>43191</v>
      </c>
      <c r="B133">
        <v>2003</v>
      </c>
      <c r="C133" t="s">
        <v>24</v>
      </c>
      <c r="D133" s="19">
        <v>-203</v>
      </c>
    </row>
    <row r="134" spans="1:4" x14ac:dyDescent="0.45">
      <c r="A134" s="25">
        <v>43191</v>
      </c>
      <c r="B134">
        <v>2004</v>
      </c>
      <c r="C134" t="s">
        <v>25</v>
      </c>
      <c r="D134" s="19">
        <v>-825</v>
      </c>
    </row>
    <row r="135" spans="1:4" x14ac:dyDescent="0.45">
      <c r="A135" s="25">
        <v>43191</v>
      </c>
      <c r="B135">
        <v>2005</v>
      </c>
      <c r="C135" t="s">
        <v>26</v>
      </c>
      <c r="D135" s="19">
        <v>-547</v>
      </c>
    </row>
    <row r="136" spans="1:4" x14ac:dyDescent="0.45">
      <c r="A136" s="25">
        <v>43191</v>
      </c>
      <c r="B136">
        <v>2006</v>
      </c>
      <c r="C136" t="s">
        <v>27</v>
      </c>
      <c r="D136" s="19">
        <v>-551</v>
      </c>
    </row>
    <row r="137" spans="1:4" x14ac:dyDescent="0.45">
      <c r="A137" s="25">
        <v>43191</v>
      </c>
      <c r="B137">
        <v>2007</v>
      </c>
      <c r="C137" t="s">
        <v>28</v>
      </c>
      <c r="D137" s="19">
        <v>-194</v>
      </c>
    </row>
    <row r="138" spans="1:4" x14ac:dyDescent="0.45">
      <c r="A138" s="25">
        <v>43191</v>
      </c>
      <c r="B138">
        <v>2008</v>
      </c>
      <c r="C138" t="s">
        <v>29</v>
      </c>
      <c r="D138" s="19">
        <v>-822</v>
      </c>
    </row>
    <row r="139" spans="1:4" x14ac:dyDescent="0.45">
      <c r="A139" s="25">
        <v>43191</v>
      </c>
      <c r="B139">
        <v>2009</v>
      </c>
      <c r="C139" t="s">
        <v>30</v>
      </c>
      <c r="D139" s="19">
        <v>-314</v>
      </c>
    </row>
    <row r="140" spans="1:4" x14ac:dyDescent="0.45">
      <c r="A140" s="25">
        <v>43191</v>
      </c>
      <c r="B140">
        <v>2010</v>
      </c>
      <c r="C140" t="s">
        <v>31</v>
      </c>
      <c r="D140" s="19">
        <v>-482</v>
      </c>
    </row>
    <row r="141" spans="1:4" x14ac:dyDescent="0.45">
      <c r="A141" s="25">
        <v>43191</v>
      </c>
      <c r="B141">
        <v>2011</v>
      </c>
      <c r="C141" t="s">
        <v>32</v>
      </c>
      <c r="D141" s="19">
        <v>-322</v>
      </c>
    </row>
    <row r="142" spans="1:4" x14ac:dyDescent="0.45">
      <c r="A142" s="25">
        <v>43191</v>
      </c>
      <c r="B142">
        <v>2012</v>
      </c>
      <c r="C142" t="s">
        <v>33</v>
      </c>
      <c r="D142" s="19">
        <v>-854</v>
      </c>
    </row>
    <row r="143" spans="1:4" x14ac:dyDescent="0.45">
      <c r="A143" s="25">
        <v>43191</v>
      </c>
      <c r="B143">
        <v>2013</v>
      </c>
      <c r="C143" t="s">
        <v>34</v>
      </c>
      <c r="D143" s="19">
        <v>-833</v>
      </c>
    </row>
    <row r="144" spans="1:4" x14ac:dyDescent="0.45">
      <c r="A144" s="25">
        <v>43191</v>
      </c>
      <c r="B144">
        <v>2014</v>
      </c>
      <c r="C144" t="s">
        <v>35</v>
      </c>
      <c r="D144" s="19">
        <v>-124</v>
      </c>
    </row>
    <row r="145" spans="1:4" x14ac:dyDescent="0.45">
      <c r="A145" s="25">
        <v>43191</v>
      </c>
      <c r="B145">
        <v>2015</v>
      </c>
      <c r="C145" t="s">
        <v>36</v>
      </c>
      <c r="D145" s="19">
        <v>-519</v>
      </c>
    </row>
    <row r="146" spans="1:4" x14ac:dyDescent="0.45">
      <c r="A146" s="25">
        <v>43191</v>
      </c>
      <c r="B146">
        <v>2016</v>
      </c>
      <c r="C146" t="s">
        <v>37</v>
      </c>
      <c r="D146" s="19">
        <v>-523</v>
      </c>
    </row>
    <row r="147" spans="1:4" x14ac:dyDescent="0.45">
      <c r="A147" s="25">
        <v>43191</v>
      </c>
      <c r="B147">
        <v>2017</v>
      </c>
      <c r="C147" t="s">
        <v>38</v>
      </c>
      <c r="D147" s="19">
        <v>-703</v>
      </c>
    </row>
    <row r="148" spans="1:4" x14ac:dyDescent="0.45">
      <c r="A148" s="25">
        <v>43191</v>
      </c>
      <c r="B148">
        <v>3001</v>
      </c>
      <c r="C148" t="s">
        <v>41</v>
      </c>
      <c r="D148" s="19">
        <v>-161</v>
      </c>
    </row>
    <row r="149" spans="1:4" x14ac:dyDescent="0.45">
      <c r="A149" s="25">
        <v>43191</v>
      </c>
      <c r="B149">
        <v>3002</v>
      </c>
      <c r="C149" t="s">
        <v>42</v>
      </c>
      <c r="D149" s="19">
        <v>-75</v>
      </c>
    </row>
    <row r="150" spans="1:4" x14ac:dyDescent="0.45">
      <c r="A150" s="25">
        <v>43191</v>
      </c>
      <c r="B150">
        <v>3003</v>
      </c>
      <c r="C150" t="s">
        <v>43</v>
      </c>
      <c r="D150" s="19">
        <v>-43</v>
      </c>
    </row>
    <row r="151" spans="1:4" x14ac:dyDescent="0.45">
      <c r="A151" s="25">
        <v>43191</v>
      </c>
      <c r="B151">
        <v>3004</v>
      </c>
      <c r="C151" t="s">
        <v>44</v>
      </c>
      <c r="D151" s="19">
        <v>-761</v>
      </c>
    </row>
    <row r="152" spans="1:4" x14ac:dyDescent="0.45">
      <c r="A152" s="25">
        <v>43191</v>
      </c>
      <c r="B152">
        <v>3005</v>
      </c>
      <c r="C152" t="s">
        <v>45</v>
      </c>
      <c r="D152" s="19">
        <v>-92</v>
      </c>
    </row>
    <row r="153" spans="1:4" x14ac:dyDescent="0.45">
      <c r="A153" s="25">
        <v>43191</v>
      </c>
      <c r="B153">
        <v>3006</v>
      </c>
      <c r="C153" t="s">
        <v>46</v>
      </c>
      <c r="D153" s="19">
        <v>-218</v>
      </c>
    </row>
    <row r="154" spans="1:4" x14ac:dyDescent="0.45">
      <c r="A154" s="25">
        <v>43191</v>
      </c>
      <c r="B154">
        <v>3007</v>
      </c>
      <c r="C154" t="s">
        <v>47</v>
      </c>
      <c r="D154" s="19">
        <v>-14</v>
      </c>
    </row>
    <row r="155" spans="1:4" x14ac:dyDescent="0.45">
      <c r="A155" s="25">
        <v>43191</v>
      </c>
      <c r="B155">
        <v>3008</v>
      </c>
      <c r="C155" t="s">
        <v>48</v>
      </c>
      <c r="D155" s="19">
        <v>-245</v>
      </c>
    </row>
    <row r="156" spans="1:4" x14ac:dyDescent="0.45">
      <c r="A156" s="25">
        <v>43191</v>
      </c>
      <c r="B156">
        <v>3009</v>
      </c>
      <c r="C156" t="s">
        <v>49</v>
      </c>
      <c r="D156" s="19">
        <v>-553</v>
      </c>
    </row>
    <row r="157" spans="1:4" x14ac:dyDescent="0.45">
      <c r="A157" s="25">
        <v>43191</v>
      </c>
      <c r="B157">
        <v>4001</v>
      </c>
      <c r="C157" t="s">
        <v>52</v>
      </c>
      <c r="D157" s="19">
        <v>-255</v>
      </c>
    </row>
    <row r="158" spans="1:4" x14ac:dyDescent="0.45">
      <c r="A158" s="25">
        <v>43191</v>
      </c>
      <c r="B158">
        <v>4002</v>
      </c>
      <c r="C158" t="s">
        <v>53</v>
      </c>
      <c r="D158" s="19">
        <v>-204</v>
      </c>
    </row>
    <row r="159" spans="1:4" x14ac:dyDescent="0.45">
      <c r="A159" s="25">
        <v>43191</v>
      </c>
      <c r="B159">
        <v>4003</v>
      </c>
      <c r="C159" t="s">
        <v>54</v>
      </c>
      <c r="D159" s="19">
        <v>-115</v>
      </c>
    </row>
    <row r="160" spans="1:4" x14ac:dyDescent="0.45">
      <c r="A160" s="25">
        <v>43191</v>
      </c>
      <c r="B160">
        <v>5001</v>
      </c>
      <c r="C160" t="s">
        <v>57</v>
      </c>
      <c r="D160" s="19">
        <v>-4200</v>
      </c>
    </row>
    <row r="161" spans="1:4" x14ac:dyDescent="0.45">
      <c r="A161" s="25">
        <v>43191</v>
      </c>
      <c r="B161">
        <v>5002</v>
      </c>
      <c r="C161" t="s">
        <v>58</v>
      </c>
      <c r="D161" s="19">
        <v>-97088</v>
      </c>
    </row>
    <row r="162" spans="1:4" x14ac:dyDescent="0.45">
      <c r="A162" s="25">
        <v>43191</v>
      </c>
      <c r="B162">
        <v>5003</v>
      </c>
      <c r="C162" t="s">
        <v>59</v>
      </c>
      <c r="D162" s="19">
        <v>-7657</v>
      </c>
    </row>
    <row r="163" spans="1:4" x14ac:dyDescent="0.45">
      <c r="A163" s="25">
        <v>43191</v>
      </c>
      <c r="B163">
        <v>5004</v>
      </c>
      <c r="C163" t="s">
        <v>60</v>
      </c>
      <c r="D163" s="19">
        <v>-42860</v>
      </c>
    </row>
    <row r="164" spans="1:4" x14ac:dyDescent="0.45">
      <c r="A164" s="25">
        <v>43191</v>
      </c>
      <c r="B164">
        <v>5005</v>
      </c>
      <c r="C164" t="s">
        <v>61</v>
      </c>
      <c r="D164" s="19">
        <v>-94991</v>
      </c>
    </row>
    <row r="165" spans="1:4" x14ac:dyDescent="0.45">
      <c r="A165" s="25">
        <v>43191</v>
      </c>
      <c r="B165">
        <v>5006</v>
      </c>
      <c r="C165" t="s">
        <v>62</v>
      </c>
      <c r="D165" s="19">
        <v>-50987</v>
      </c>
    </row>
    <row r="166" spans="1:4" x14ac:dyDescent="0.45">
      <c r="A166" s="25">
        <v>43191</v>
      </c>
      <c r="B166">
        <v>5007</v>
      </c>
      <c r="C166" t="s">
        <v>63</v>
      </c>
      <c r="D166" s="19">
        <v>-22902</v>
      </c>
    </row>
    <row r="167" spans="1:4" x14ac:dyDescent="0.45">
      <c r="A167" s="25">
        <v>43191</v>
      </c>
      <c r="B167">
        <v>5008</v>
      </c>
      <c r="C167" t="s">
        <v>64</v>
      </c>
      <c r="D167" s="19">
        <v>-58662</v>
      </c>
    </row>
    <row r="168" spans="1:4" x14ac:dyDescent="0.45">
      <c r="A168" s="25">
        <v>43191</v>
      </c>
      <c r="B168">
        <v>5009</v>
      </c>
      <c r="C168" t="s">
        <v>65</v>
      </c>
      <c r="D168" s="19">
        <v>-6091</v>
      </c>
    </row>
    <row r="169" spans="1:4" x14ac:dyDescent="0.45">
      <c r="A169" s="25">
        <v>43191</v>
      </c>
      <c r="B169">
        <v>6002</v>
      </c>
      <c r="C169" t="s">
        <v>68</v>
      </c>
      <c r="D169" s="19">
        <v>-803</v>
      </c>
    </row>
    <row r="170" spans="1:4" x14ac:dyDescent="0.45">
      <c r="A170" s="25">
        <v>43191</v>
      </c>
      <c r="B170">
        <v>6003</v>
      </c>
      <c r="C170" t="s">
        <v>69</v>
      </c>
      <c r="D170" s="19">
        <v>-121</v>
      </c>
    </row>
    <row r="171" spans="1:4" x14ac:dyDescent="0.45">
      <c r="A171" s="25">
        <v>43191</v>
      </c>
      <c r="B171">
        <v>6004</v>
      </c>
      <c r="C171" t="s">
        <v>70</v>
      </c>
      <c r="D171" s="19">
        <v>-926</v>
      </c>
    </row>
    <row r="172" spans="1:4" x14ac:dyDescent="0.45">
      <c r="A172" s="25">
        <v>43191</v>
      </c>
      <c r="B172">
        <v>6005</v>
      </c>
      <c r="C172" t="s">
        <v>71</v>
      </c>
      <c r="D172" s="19">
        <v>-155</v>
      </c>
    </row>
    <row r="173" spans="1:4" x14ac:dyDescent="0.45">
      <c r="A173" s="25">
        <v>43191</v>
      </c>
      <c r="B173">
        <v>6006</v>
      </c>
      <c r="C173" t="s">
        <v>72</v>
      </c>
      <c r="D173" s="19">
        <v>-668</v>
      </c>
    </row>
    <row r="174" spans="1:4" x14ac:dyDescent="0.45">
      <c r="A174" s="25">
        <v>43221</v>
      </c>
      <c r="B174">
        <v>2001</v>
      </c>
      <c r="C174" t="s">
        <v>22</v>
      </c>
      <c r="D174" s="19">
        <v>-781</v>
      </c>
    </row>
    <row r="175" spans="1:4" x14ac:dyDescent="0.45">
      <c r="A175" s="25">
        <v>43221</v>
      </c>
      <c r="B175">
        <v>2002</v>
      </c>
      <c r="C175" t="s">
        <v>23</v>
      </c>
      <c r="D175" s="19">
        <v>-966</v>
      </c>
    </row>
    <row r="176" spans="1:4" x14ac:dyDescent="0.45">
      <c r="A176" s="25">
        <v>43221</v>
      </c>
      <c r="B176">
        <v>2003</v>
      </c>
      <c r="C176" t="s">
        <v>24</v>
      </c>
      <c r="D176" s="19">
        <v>-787</v>
      </c>
    </row>
    <row r="177" spans="1:4" x14ac:dyDescent="0.45">
      <c r="A177" s="25">
        <v>43221</v>
      </c>
      <c r="B177">
        <v>2004</v>
      </c>
      <c r="C177" t="s">
        <v>25</v>
      </c>
      <c r="D177" s="19">
        <v>-349</v>
      </c>
    </row>
    <row r="178" spans="1:4" x14ac:dyDescent="0.45">
      <c r="A178" s="25">
        <v>43221</v>
      </c>
      <c r="B178">
        <v>2005</v>
      </c>
      <c r="C178" t="s">
        <v>26</v>
      </c>
      <c r="D178" s="19">
        <v>-563</v>
      </c>
    </row>
    <row r="179" spans="1:4" x14ac:dyDescent="0.45">
      <c r="A179" s="25">
        <v>43221</v>
      </c>
      <c r="B179">
        <v>2006</v>
      </c>
      <c r="C179" t="s">
        <v>27</v>
      </c>
      <c r="D179" s="19">
        <v>-359</v>
      </c>
    </row>
    <row r="180" spans="1:4" x14ac:dyDescent="0.45">
      <c r="A180" s="25">
        <v>43221</v>
      </c>
      <c r="B180">
        <v>2007</v>
      </c>
      <c r="C180" t="s">
        <v>28</v>
      </c>
      <c r="D180" s="19">
        <v>-722</v>
      </c>
    </row>
    <row r="181" spans="1:4" x14ac:dyDescent="0.45">
      <c r="A181" s="25">
        <v>43221</v>
      </c>
      <c r="B181">
        <v>2008</v>
      </c>
      <c r="C181" t="s">
        <v>29</v>
      </c>
      <c r="D181" s="19">
        <v>-319</v>
      </c>
    </row>
    <row r="182" spans="1:4" x14ac:dyDescent="0.45">
      <c r="A182" s="25">
        <v>43221</v>
      </c>
      <c r="B182">
        <v>2009</v>
      </c>
      <c r="C182" t="s">
        <v>30</v>
      </c>
      <c r="D182" s="19">
        <v>-66</v>
      </c>
    </row>
    <row r="183" spans="1:4" x14ac:dyDescent="0.45">
      <c r="A183" s="25">
        <v>43221</v>
      </c>
      <c r="B183">
        <v>2010</v>
      </c>
      <c r="C183" t="s">
        <v>31</v>
      </c>
      <c r="D183" s="19">
        <v>-9</v>
      </c>
    </row>
    <row r="184" spans="1:4" x14ac:dyDescent="0.45">
      <c r="A184" s="25">
        <v>43221</v>
      </c>
      <c r="B184">
        <v>2011</v>
      </c>
      <c r="C184" t="s">
        <v>32</v>
      </c>
      <c r="D184" s="19">
        <v>-948</v>
      </c>
    </row>
    <row r="185" spans="1:4" x14ac:dyDescent="0.45">
      <c r="A185" s="25">
        <v>43221</v>
      </c>
      <c r="B185">
        <v>2012</v>
      </c>
      <c r="C185" t="s">
        <v>33</v>
      </c>
      <c r="D185" s="19">
        <v>-493</v>
      </c>
    </row>
    <row r="186" spans="1:4" x14ac:dyDescent="0.45">
      <c r="A186" s="25">
        <v>43221</v>
      </c>
      <c r="B186">
        <v>2013</v>
      </c>
      <c r="C186" t="s">
        <v>34</v>
      </c>
      <c r="D186" s="19">
        <v>-224</v>
      </c>
    </row>
    <row r="187" spans="1:4" x14ac:dyDescent="0.45">
      <c r="A187" s="25">
        <v>43221</v>
      </c>
      <c r="B187">
        <v>2014</v>
      </c>
      <c r="C187" t="s">
        <v>35</v>
      </c>
      <c r="D187" s="19">
        <v>-531</v>
      </c>
    </row>
    <row r="188" spans="1:4" x14ac:dyDescent="0.45">
      <c r="A188" s="25">
        <v>43221</v>
      </c>
      <c r="B188">
        <v>2015</v>
      </c>
      <c r="C188" t="s">
        <v>36</v>
      </c>
      <c r="D188" s="19">
        <v>-582</v>
      </c>
    </row>
    <row r="189" spans="1:4" x14ac:dyDescent="0.45">
      <c r="A189" s="25">
        <v>43221</v>
      </c>
      <c r="B189">
        <v>2016</v>
      </c>
      <c r="C189" t="s">
        <v>37</v>
      </c>
      <c r="D189" s="19">
        <v>-856</v>
      </c>
    </row>
    <row r="190" spans="1:4" x14ac:dyDescent="0.45">
      <c r="A190" s="25">
        <v>43221</v>
      </c>
      <c r="B190">
        <v>2017</v>
      </c>
      <c r="C190" t="s">
        <v>38</v>
      </c>
      <c r="D190" s="19">
        <v>-291</v>
      </c>
    </row>
    <row r="191" spans="1:4" x14ac:dyDescent="0.45">
      <c r="A191" s="25">
        <v>43221</v>
      </c>
      <c r="B191">
        <v>3001</v>
      </c>
      <c r="C191" t="s">
        <v>41</v>
      </c>
      <c r="D191" s="19">
        <v>-963</v>
      </c>
    </row>
    <row r="192" spans="1:4" x14ac:dyDescent="0.45">
      <c r="A192" s="25">
        <v>43221</v>
      </c>
      <c r="B192">
        <v>3002</v>
      </c>
      <c r="C192" t="s">
        <v>42</v>
      </c>
      <c r="D192" s="19">
        <v>-687</v>
      </c>
    </row>
    <row r="193" spans="1:4" x14ac:dyDescent="0.45">
      <c r="A193" s="25">
        <v>43221</v>
      </c>
      <c r="B193">
        <v>3003</v>
      </c>
      <c r="C193" t="s">
        <v>43</v>
      </c>
      <c r="D193" s="19">
        <v>-73</v>
      </c>
    </row>
    <row r="194" spans="1:4" x14ac:dyDescent="0.45">
      <c r="A194" s="25">
        <v>43221</v>
      </c>
      <c r="B194">
        <v>3004</v>
      </c>
      <c r="C194" t="s">
        <v>44</v>
      </c>
      <c r="D194" s="19">
        <v>-917</v>
      </c>
    </row>
    <row r="195" spans="1:4" x14ac:dyDescent="0.45">
      <c r="A195" s="25">
        <v>43221</v>
      </c>
      <c r="B195">
        <v>3005</v>
      </c>
      <c r="C195" t="s">
        <v>45</v>
      </c>
      <c r="D195" s="19">
        <v>-285</v>
      </c>
    </row>
    <row r="196" spans="1:4" x14ac:dyDescent="0.45">
      <c r="A196" s="25">
        <v>43221</v>
      </c>
      <c r="B196">
        <v>3006</v>
      </c>
      <c r="C196" t="s">
        <v>46</v>
      </c>
      <c r="D196" s="19">
        <v>-76</v>
      </c>
    </row>
    <row r="197" spans="1:4" x14ac:dyDescent="0.45">
      <c r="A197" s="25">
        <v>43221</v>
      </c>
      <c r="B197">
        <v>3007</v>
      </c>
      <c r="C197" t="s">
        <v>47</v>
      </c>
      <c r="D197" s="19">
        <v>-278</v>
      </c>
    </row>
    <row r="198" spans="1:4" x14ac:dyDescent="0.45">
      <c r="A198" s="25">
        <v>43221</v>
      </c>
      <c r="B198">
        <v>3008</v>
      </c>
      <c r="C198" t="s">
        <v>48</v>
      </c>
      <c r="D198" s="19">
        <v>-407</v>
      </c>
    </row>
    <row r="199" spans="1:4" x14ac:dyDescent="0.45">
      <c r="A199" s="25">
        <v>43221</v>
      </c>
      <c r="B199">
        <v>3009</v>
      </c>
      <c r="C199" t="s">
        <v>49</v>
      </c>
      <c r="D199" s="19">
        <v>-279</v>
      </c>
    </row>
    <row r="200" spans="1:4" x14ac:dyDescent="0.45">
      <c r="A200" s="25">
        <v>43221</v>
      </c>
      <c r="B200">
        <v>4001</v>
      </c>
      <c r="C200" t="s">
        <v>52</v>
      </c>
      <c r="D200" s="19">
        <v>-140</v>
      </c>
    </row>
    <row r="201" spans="1:4" x14ac:dyDescent="0.45">
      <c r="A201" s="25">
        <v>43221</v>
      </c>
      <c r="B201">
        <v>4002</v>
      </c>
      <c r="C201" t="s">
        <v>53</v>
      </c>
      <c r="D201" s="19">
        <v>-670</v>
      </c>
    </row>
    <row r="202" spans="1:4" x14ac:dyDescent="0.45">
      <c r="A202" s="25">
        <v>43221</v>
      </c>
      <c r="B202">
        <v>4003</v>
      </c>
      <c r="C202" t="s">
        <v>54</v>
      </c>
      <c r="D202" s="19">
        <v>-140</v>
      </c>
    </row>
    <row r="203" spans="1:4" x14ac:dyDescent="0.45">
      <c r="A203" s="25">
        <v>43221</v>
      </c>
      <c r="B203">
        <v>5001</v>
      </c>
      <c r="C203" t="s">
        <v>57</v>
      </c>
      <c r="D203" s="19">
        <v>-26227</v>
      </c>
    </row>
    <row r="204" spans="1:4" x14ac:dyDescent="0.45">
      <c r="A204" s="25">
        <v>43221</v>
      </c>
      <c r="B204">
        <v>5002</v>
      </c>
      <c r="C204" t="s">
        <v>58</v>
      </c>
      <c r="D204" s="19">
        <v>-59143</v>
      </c>
    </row>
    <row r="205" spans="1:4" x14ac:dyDescent="0.45">
      <c r="A205" s="25">
        <v>43221</v>
      </c>
      <c r="B205">
        <v>5003</v>
      </c>
      <c r="C205" t="s">
        <v>59</v>
      </c>
      <c r="D205" s="19">
        <v>-75372</v>
      </c>
    </row>
    <row r="206" spans="1:4" x14ac:dyDescent="0.45">
      <c r="A206" s="25">
        <v>43221</v>
      </c>
      <c r="B206">
        <v>5004</v>
      </c>
      <c r="C206" t="s">
        <v>60</v>
      </c>
      <c r="D206" s="19">
        <v>-46074</v>
      </c>
    </row>
    <row r="207" spans="1:4" x14ac:dyDescent="0.45">
      <c r="A207" s="25">
        <v>43221</v>
      </c>
      <c r="B207">
        <v>5005</v>
      </c>
      <c r="C207" t="s">
        <v>61</v>
      </c>
      <c r="D207" s="19">
        <v>-23527</v>
      </c>
    </row>
    <row r="208" spans="1:4" x14ac:dyDescent="0.45">
      <c r="A208" s="25">
        <v>43221</v>
      </c>
      <c r="B208">
        <v>5006</v>
      </c>
      <c r="C208" t="s">
        <v>62</v>
      </c>
      <c r="D208" s="19">
        <v>-87684</v>
      </c>
    </row>
    <row r="209" spans="1:4" x14ac:dyDescent="0.45">
      <c r="A209" s="25">
        <v>43221</v>
      </c>
      <c r="B209">
        <v>5007</v>
      </c>
      <c r="C209" t="s">
        <v>63</v>
      </c>
      <c r="D209" s="19">
        <v>-94122</v>
      </c>
    </row>
    <row r="210" spans="1:4" x14ac:dyDescent="0.45">
      <c r="A210" s="25">
        <v>43221</v>
      </c>
      <c r="B210">
        <v>5008</v>
      </c>
      <c r="C210" t="s">
        <v>64</v>
      </c>
      <c r="D210" s="19">
        <v>-60589</v>
      </c>
    </row>
    <row r="211" spans="1:4" x14ac:dyDescent="0.45">
      <c r="A211" s="25">
        <v>43221</v>
      </c>
      <c r="B211">
        <v>5009</v>
      </c>
      <c r="C211" t="s">
        <v>65</v>
      </c>
      <c r="D211" s="19">
        <v>-93417</v>
      </c>
    </row>
    <row r="212" spans="1:4" x14ac:dyDescent="0.45">
      <c r="A212" s="25">
        <v>43221</v>
      </c>
      <c r="B212">
        <v>6002</v>
      </c>
      <c r="C212" t="s">
        <v>68</v>
      </c>
      <c r="D212" s="19">
        <v>-291</v>
      </c>
    </row>
    <row r="213" spans="1:4" x14ac:dyDescent="0.45">
      <c r="A213" s="25">
        <v>43221</v>
      </c>
      <c r="B213">
        <v>6003</v>
      </c>
      <c r="C213" t="s">
        <v>69</v>
      </c>
      <c r="D213" s="19">
        <v>-49</v>
      </c>
    </row>
    <row r="214" spans="1:4" x14ac:dyDescent="0.45">
      <c r="A214" s="25">
        <v>43221</v>
      </c>
      <c r="B214">
        <v>6004</v>
      </c>
      <c r="C214" t="s">
        <v>70</v>
      </c>
      <c r="D214" s="19">
        <v>-712</v>
      </c>
    </row>
    <row r="215" spans="1:4" x14ac:dyDescent="0.45">
      <c r="A215" s="25">
        <v>43221</v>
      </c>
      <c r="B215">
        <v>6005</v>
      </c>
      <c r="C215" t="s">
        <v>71</v>
      </c>
      <c r="D215" s="19">
        <v>-105</v>
      </c>
    </row>
    <row r="216" spans="1:4" x14ac:dyDescent="0.45">
      <c r="A216" s="25">
        <v>43221</v>
      </c>
      <c r="B216">
        <v>6006</v>
      </c>
      <c r="C216" t="s">
        <v>72</v>
      </c>
      <c r="D216" s="19">
        <v>-897</v>
      </c>
    </row>
    <row r="217" spans="1:4" x14ac:dyDescent="0.45">
      <c r="A217" s="25">
        <v>43252</v>
      </c>
      <c r="B217">
        <v>2001</v>
      </c>
      <c r="C217" t="s">
        <v>22</v>
      </c>
      <c r="D217" s="19">
        <v>-569</v>
      </c>
    </row>
    <row r="218" spans="1:4" x14ac:dyDescent="0.45">
      <c r="A218" s="25">
        <v>43252</v>
      </c>
      <c r="B218">
        <v>2002</v>
      </c>
      <c r="C218" t="s">
        <v>23</v>
      </c>
      <c r="D218" s="19">
        <v>-435</v>
      </c>
    </row>
    <row r="219" spans="1:4" x14ac:dyDescent="0.45">
      <c r="A219" s="25">
        <v>43252</v>
      </c>
      <c r="B219">
        <v>2003</v>
      </c>
      <c r="C219" t="s">
        <v>24</v>
      </c>
      <c r="D219" s="19">
        <v>-562</v>
      </c>
    </row>
    <row r="220" spans="1:4" x14ac:dyDescent="0.45">
      <c r="A220" s="25">
        <v>43252</v>
      </c>
      <c r="B220">
        <v>2004</v>
      </c>
      <c r="C220" t="s">
        <v>25</v>
      </c>
      <c r="D220" s="19">
        <v>-893</v>
      </c>
    </row>
    <row r="221" spans="1:4" x14ac:dyDescent="0.45">
      <c r="A221" s="25">
        <v>43252</v>
      </c>
      <c r="B221">
        <v>2005</v>
      </c>
      <c r="C221" t="s">
        <v>26</v>
      </c>
      <c r="D221" s="19">
        <v>-845</v>
      </c>
    </row>
    <row r="222" spans="1:4" x14ac:dyDescent="0.45">
      <c r="A222" s="25">
        <v>43252</v>
      </c>
      <c r="B222">
        <v>2006</v>
      </c>
      <c r="C222" t="s">
        <v>27</v>
      </c>
      <c r="D222" s="19">
        <v>-597</v>
      </c>
    </row>
    <row r="223" spans="1:4" x14ac:dyDescent="0.45">
      <c r="A223" s="25">
        <v>43252</v>
      </c>
      <c r="B223">
        <v>2007</v>
      </c>
      <c r="C223" t="s">
        <v>28</v>
      </c>
      <c r="D223" s="19">
        <v>-464</v>
      </c>
    </row>
    <row r="224" spans="1:4" x14ac:dyDescent="0.45">
      <c r="A224" s="25">
        <v>43252</v>
      </c>
      <c r="B224">
        <v>2008</v>
      </c>
      <c r="C224" t="s">
        <v>29</v>
      </c>
      <c r="D224" s="19">
        <v>-17</v>
      </c>
    </row>
    <row r="225" spans="1:4" x14ac:dyDescent="0.45">
      <c r="A225" s="25">
        <v>43252</v>
      </c>
      <c r="B225">
        <v>2009</v>
      </c>
      <c r="C225" t="s">
        <v>30</v>
      </c>
      <c r="D225" s="19">
        <v>-707</v>
      </c>
    </row>
    <row r="226" spans="1:4" x14ac:dyDescent="0.45">
      <c r="A226" s="25">
        <v>43252</v>
      </c>
      <c r="B226">
        <v>2010</v>
      </c>
      <c r="C226" t="s">
        <v>31</v>
      </c>
      <c r="D226" s="19">
        <v>-226</v>
      </c>
    </row>
    <row r="227" spans="1:4" x14ac:dyDescent="0.45">
      <c r="A227" s="25">
        <v>43252</v>
      </c>
      <c r="B227">
        <v>2011</v>
      </c>
      <c r="C227" t="s">
        <v>32</v>
      </c>
      <c r="D227" s="19">
        <v>-763</v>
      </c>
    </row>
    <row r="228" spans="1:4" x14ac:dyDescent="0.45">
      <c r="A228" s="25">
        <v>43252</v>
      </c>
      <c r="B228">
        <v>2012</v>
      </c>
      <c r="C228" t="s">
        <v>33</v>
      </c>
      <c r="D228" s="19">
        <v>-284</v>
      </c>
    </row>
    <row r="229" spans="1:4" x14ac:dyDescent="0.45">
      <c r="A229" s="25">
        <v>43252</v>
      </c>
      <c r="B229">
        <v>2013</v>
      </c>
      <c r="C229" t="s">
        <v>34</v>
      </c>
      <c r="D229" s="19">
        <v>-659</v>
      </c>
    </row>
    <row r="230" spans="1:4" x14ac:dyDescent="0.45">
      <c r="A230" s="25">
        <v>43252</v>
      </c>
      <c r="B230">
        <v>2014</v>
      </c>
      <c r="C230" t="s">
        <v>35</v>
      </c>
      <c r="D230" s="19">
        <v>-759</v>
      </c>
    </row>
    <row r="231" spans="1:4" x14ac:dyDescent="0.45">
      <c r="A231" s="25">
        <v>43252</v>
      </c>
      <c r="B231">
        <v>2015</v>
      </c>
      <c r="C231" t="s">
        <v>36</v>
      </c>
      <c r="D231" s="19">
        <v>-773</v>
      </c>
    </row>
    <row r="232" spans="1:4" x14ac:dyDescent="0.45">
      <c r="A232" s="25">
        <v>43252</v>
      </c>
      <c r="B232">
        <v>2016</v>
      </c>
      <c r="C232" t="s">
        <v>37</v>
      </c>
      <c r="D232" s="19">
        <v>-43</v>
      </c>
    </row>
    <row r="233" spans="1:4" x14ac:dyDescent="0.45">
      <c r="A233" s="25">
        <v>43252</v>
      </c>
      <c r="B233">
        <v>2017</v>
      </c>
      <c r="C233" t="s">
        <v>38</v>
      </c>
      <c r="D233" s="19">
        <v>-172</v>
      </c>
    </row>
    <row r="234" spans="1:4" x14ac:dyDescent="0.45">
      <c r="A234" s="25">
        <v>43252</v>
      </c>
      <c r="B234">
        <v>3001</v>
      </c>
      <c r="C234" t="s">
        <v>41</v>
      </c>
      <c r="D234" s="19">
        <v>-240</v>
      </c>
    </row>
    <row r="235" spans="1:4" x14ac:dyDescent="0.45">
      <c r="A235" s="25">
        <v>43252</v>
      </c>
      <c r="B235">
        <v>3002</v>
      </c>
      <c r="C235" t="s">
        <v>42</v>
      </c>
      <c r="D235" s="19">
        <v>-191</v>
      </c>
    </row>
    <row r="236" spans="1:4" x14ac:dyDescent="0.45">
      <c r="A236" s="25">
        <v>43252</v>
      </c>
      <c r="B236">
        <v>3003</v>
      </c>
      <c r="C236" t="s">
        <v>43</v>
      </c>
      <c r="D236" s="19">
        <v>-604</v>
      </c>
    </row>
    <row r="237" spans="1:4" x14ac:dyDescent="0.45">
      <c r="A237" s="25">
        <v>43252</v>
      </c>
      <c r="B237">
        <v>3004</v>
      </c>
      <c r="C237" t="s">
        <v>44</v>
      </c>
      <c r="D237" s="19">
        <v>-649</v>
      </c>
    </row>
    <row r="238" spans="1:4" x14ac:dyDescent="0.45">
      <c r="A238" s="25">
        <v>43252</v>
      </c>
      <c r="B238">
        <v>3005</v>
      </c>
      <c r="C238" t="s">
        <v>45</v>
      </c>
      <c r="D238" s="19">
        <v>-492</v>
      </c>
    </row>
    <row r="239" spans="1:4" x14ac:dyDescent="0.45">
      <c r="A239" s="25">
        <v>43252</v>
      </c>
      <c r="B239">
        <v>3006</v>
      </c>
      <c r="C239" t="s">
        <v>46</v>
      </c>
      <c r="D239" s="19">
        <v>-729</v>
      </c>
    </row>
    <row r="240" spans="1:4" x14ac:dyDescent="0.45">
      <c r="A240" s="25">
        <v>43252</v>
      </c>
      <c r="B240">
        <v>3007</v>
      </c>
      <c r="C240" t="s">
        <v>47</v>
      </c>
      <c r="D240" s="19">
        <v>-323</v>
      </c>
    </row>
    <row r="241" spans="1:4" x14ac:dyDescent="0.45">
      <c r="A241" s="25">
        <v>43252</v>
      </c>
      <c r="B241">
        <v>3008</v>
      </c>
      <c r="C241" t="s">
        <v>48</v>
      </c>
      <c r="D241" s="19">
        <v>-780</v>
      </c>
    </row>
    <row r="242" spans="1:4" x14ac:dyDescent="0.45">
      <c r="A242" s="25">
        <v>43252</v>
      </c>
      <c r="B242">
        <v>3009</v>
      </c>
      <c r="C242" t="s">
        <v>49</v>
      </c>
      <c r="D242" s="19">
        <v>-90</v>
      </c>
    </row>
    <row r="243" spans="1:4" x14ac:dyDescent="0.45">
      <c r="A243" s="25">
        <v>43252</v>
      </c>
      <c r="B243">
        <v>4001</v>
      </c>
      <c r="C243" t="s">
        <v>52</v>
      </c>
      <c r="D243" s="19">
        <v>-209</v>
      </c>
    </row>
    <row r="244" spans="1:4" x14ac:dyDescent="0.45">
      <c r="A244" s="25">
        <v>43252</v>
      </c>
      <c r="B244">
        <v>4002</v>
      </c>
      <c r="C244" t="s">
        <v>53</v>
      </c>
      <c r="D244" s="19">
        <v>-761</v>
      </c>
    </row>
    <row r="245" spans="1:4" x14ac:dyDescent="0.45">
      <c r="A245" s="25">
        <v>43252</v>
      </c>
      <c r="B245">
        <v>4003</v>
      </c>
      <c r="C245" t="s">
        <v>54</v>
      </c>
      <c r="D245" s="19">
        <v>-321</v>
      </c>
    </row>
    <row r="246" spans="1:4" x14ac:dyDescent="0.45">
      <c r="A246" s="25">
        <v>43252</v>
      </c>
      <c r="B246">
        <v>5001</v>
      </c>
      <c r="C246" t="s">
        <v>57</v>
      </c>
      <c r="D246" s="19">
        <v>-94048</v>
      </c>
    </row>
    <row r="247" spans="1:4" x14ac:dyDescent="0.45">
      <c r="A247" s="25">
        <v>43252</v>
      </c>
      <c r="B247">
        <v>5002</v>
      </c>
      <c r="C247" t="s">
        <v>58</v>
      </c>
      <c r="D247" s="19">
        <v>-84</v>
      </c>
    </row>
    <row r="248" spans="1:4" x14ac:dyDescent="0.45">
      <c r="A248" s="25">
        <v>43252</v>
      </c>
      <c r="B248">
        <v>5003</v>
      </c>
      <c r="C248" t="s">
        <v>59</v>
      </c>
      <c r="D248" s="19">
        <v>-91057</v>
      </c>
    </row>
    <row r="249" spans="1:4" x14ac:dyDescent="0.45">
      <c r="A249" s="25">
        <v>43252</v>
      </c>
      <c r="B249">
        <v>5004</v>
      </c>
      <c r="C249" t="s">
        <v>60</v>
      </c>
      <c r="D249" s="19">
        <v>-73465</v>
      </c>
    </row>
    <row r="250" spans="1:4" x14ac:dyDescent="0.45">
      <c r="A250" s="25">
        <v>43252</v>
      </c>
      <c r="B250">
        <v>5005</v>
      </c>
      <c r="C250" t="s">
        <v>61</v>
      </c>
      <c r="D250" s="19">
        <v>-66014</v>
      </c>
    </row>
    <row r="251" spans="1:4" x14ac:dyDescent="0.45">
      <c r="A251" s="25">
        <v>43252</v>
      </c>
      <c r="B251">
        <v>5006</v>
      </c>
      <c r="C251" t="s">
        <v>62</v>
      </c>
      <c r="D251" s="19">
        <v>-43849</v>
      </c>
    </row>
    <row r="252" spans="1:4" x14ac:dyDescent="0.45">
      <c r="A252" s="25">
        <v>43252</v>
      </c>
      <c r="B252">
        <v>5007</v>
      </c>
      <c r="C252" t="s">
        <v>63</v>
      </c>
      <c r="D252" s="19">
        <v>-93792</v>
      </c>
    </row>
    <row r="253" spans="1:4" x14ac:dyDescent="0.45">
      <c r="A253" s="25">
        <v>43252</v>
      </c>
      <c r="B253">
        <v>5008</v>
      </c>
      <c r="C253" t="s">
        <v>64</v>
      </c>
      <c r="D253" s="19">
        <v>-60600</v>
      </c>
    </row>
    <row r="254" spans="1:4" x14ac:dyDescent="0.45">
      <c r="A254" s="25">
        <v>43252</v>
      </c>
      <c r="B254">
        <v>5009</v>
      </c>
      <c r="C254" t="s">
        <v>65</v>
      </c>
      <c r="D254" s="19">
        <v>-13322</v>
      </c>
    </row>
    <row r="255" spans="1:4" x14ac:dyDescent="0.45">
      <c r="A255" s="25">
        <v>43252</v>
      </c>
      <c r="B255">
        <v>6002</v>
      </c>
      <c r="C255" t="s">
        <v>68</v>
      </c>
      <c r="D255" s="19">
        <v>-853</v>
      </c>
    </row>
    <row r="256" spans="1:4" x14ac:dyDescent="0.45">
      <c r="A256" s="25">
        <v>43252</v>
      </c>
      <c r="B256">
        <v>6003</v>
      </c>
      <c r="C256" t="s">
        <v>69</v>
      </c>
      <c r="D256" s="19">
        <v>-224</v>
      </c>
    </row>
    <row r="257" spans="1:4" x14ac:dyDescent="0.45">
      <c r="A257" s="25">
        <v>43252</v>
      </c>
      <c r="B257">
        <v>6004</v>
      </c>
      <c r="C257" t="s">
        <v>70</v>
      </c>
      <c r="D257" s="19">
        <v>-879</v>
      </c>
    </row>
    <row r="258" spans="1:4" x14ac:dyDescent="0.45">
      <c r="A258" s="25">
        <v>43252</v>
      </c>
      <c r="B258">
        <v>6005</v>
      </c>
      <c r="C258" t="s">
        <v>71</v>
      </c>
      <c r="D258" s="19">
        <v>-368</v>
      </c>
    </row>
    <row r="259" spans="1:4" x14ac:dyDescent="0.45">
      <c r="A259" s="25">
        <v>43252</v>
      </c>
      <c r="B259">
        <v>6006</v>
      </c>
      <c r="C259" t="s">
        <v>72</v>
      </c>
      <c r="D259" s="19">
        <v>-404</v>
      </c>
    </row>
    <row r="260" spans="1:4" x14ac:dyDescent="0.45">
      <c r="A260" s="25">
        <v>43282</v>
      </c>
      <c r="B260">
        <v>2001</v>
      </c>
      <c r="C260" t="s">
        <v>22</v>
      </c>
      <c r="D260" s="19">
        <v>-612</v>
      </c>
    </row>
    <row r="261" spans="1:4" x14ac:dyDescent="0.45">
      <c r="A261" s="25">
        <v>43282</v>
      </c>
      <c r="B261">
        <v>2002</v>
      </c>
      <c r="C261" t="s">
        <v>23</v>
      </c>
      <c r="D261" s="19">
        <v>-354</v>
      </c>
    </row>
    <row r="262" spans="1:4" x14ac:dyDescent="0.45">
      <c r="A262" s="25">
        <v>43282</v>
      </c>
      <c r="B262">
        <v>2003</v>
      </c>
      <c r="C262" t="s">
        <v>24</v>
      </c>
      <c r="D262" s="19">
        <v>-958</v>
      </c>
    </row>
    <row r="263" spans="1:4" x14ac:dyDescent="0.45">
      <c r="A263" s="25">
        <v>43282</v>
      </c>
      <c r="B263">
        <v>2004</v>
      </c>
      <c r="C263" t="s">
        <v>25</v>
      </c>
      <c r="D263" s="19">
        <v>-769</v>
      </c>
    </row>
    <row r="264" spans="1:4" x14ac:dyDescent="0.45">
      <c r="A264" s="25">
        <v>43282</v>
      </c>
      <c r="B264">
        <v>2005</v>
      </c>
      <c r="C264" t="s">
        <v>26</v>
      </c>
      <c r="D264" s="19">
        <v>-437</v>
      </c>
    </row>
    <row r="265" spans="1:4" x14ac:dyDescent="0.45">
      <c r="A265" s="25">
        <v>43282</v>
      </c>
      <c r="B265">
        <v>2006</v>
      </c>
      <c r="C265" t="s">
        <v>27</v>
      </c>
      <c r="D265" s="19">
        <v>-82</v>
      </c>
    </row>
    <row r="266" spans="1:4" x14ac:dyDescent="0.45">
      <c r="A266" s="25">
        <v>43282</v>
      </c>
      <c r="B266">
        <v>2007</v>
      </c>
      <c r="C266" t="s">
        <v>28</v>
      </c>
      <c r="D266" s="19">
        <v>-585</v>
      </c>
    </row>
    <row r="267" spans="1:4" x14ac:dyDescent="0.45">
      <c r="A267" s="25">
        <v>43282</v>
      </c>
      <c r="B267">
        <v>2008</v>
      </c>
      <c r="C267" t="s">
        <v>29</v>
      </c>
      <c r="D267" s="19">
        <v>-774</v>
      </c>
    </row>
    <row r="268" spans="1:4" x14ac:dyDescent="0.45">
      <c r="A268" s="25">
        <v>43282</v>
      </c>
      <c r="B268">
        <v>2009</v>
      </c>
      <c r="C268" t="s">
        <v>30</v>
      </c>
      <c r="D268" s="19">
        <v>-96</v>
      </c>
    </row>
    <row r="269" spans="1:4" x14ac:dyDescent="0.45">
      <c r="A269" s="25">
        <v>43282</v>
      </c>
      <c r="B269">
        <v>2010</v>
      </c>
      <c r="C269" t="s">
        <v>31</v>
      </c>
      <c r="D269" s="19">
        <v>-385</v>
      </c>
    </row>
    <row r="270" spans="1:4" x14ac:dyDescent="0.45">
      <c r="A270" s="25">
        <v>43282</v>
      </c>
      <c r="B270">
        <v>2011</v>
      </c>
      <c r="C270" t="s">
        <v>32</v>
      </c>
      <c r="D270" s="19">
        <v>-937</v>
      </c>
    </row>
    <row r="271" spans="1:4" x14ac:dyDescent="0.45">
      <c r="A271" s="25">
        <v>43282</v>
      </c>
      <c r="B271">
        <v>2012</v>
      </c>
      <c r="C271" t="s">
        <v>33</v>
      </c>
      <c r="D271" s="19">
        <v>-738</v>
      </c>
    </row>
    <row r="272" spans="1:4" x14ac:dyDescent="0.45">
      <c r="A272" s="25">
        <v>43282</v>
      </c>
      <c r="B272">
        <v>2013</v>
      </c>
      <c r="C272" t="s">
        <v>34</v>
      </c>
      <c r="D272" s="19">
        <v>-675</v>
      </c>
    </row>
    <row r="273" spans="1:4" x14ac:dyDescent="0.45">
      <c r="A273" s="25">
        <v>43282</v>
      </c>
      <c r="B273">
        <v>2014</v>
      </c>
      <c r="C273" t="s">
        <v>35</v>
      </c>
      <c r="D273" s="19">
        <v>-909</v>
      </c>
    </row>
    <row r="274" spans="1:4" x14ac:dyDescent="0.45">
      <c r="A274" s="25">
        <v>43282</v>
      </c>
      <c r="B274">
        <v>2015</v>
      </c>
      <c r="C274" t="s">
        <v>36</v>
      </c>
      <c r="D274" s="19">
        <v>-372</v>
      </c>
    </row>
    <row r="275" spans="1:4" x14ac:dyDescent="0.45">
      <c r="A275" s="25">
        <v>43282</v>
      </c>
      <c r="B275">
        <v>2016</v>
      </c>
      <c r="C275" t="s">
        <v>37</v>
      </c>
      <c r="D275" s="19">
        <v>-763</v>
      </c>
    </row>
    <row r="276" spans="1:4" x14ac:dyDescent="0.45">
      <c r="A276" s="25">
        <v>43282</v>
      </c>
      <c r="B276">
        <v>2017</v>
      </c>
      <c r="C276" t="s">
        <v>38</v>
      </c>
      <c r="D276" s="19">
        <v>-732</v>
      </c>
    </row>
    <row r="277" spans="1:4" x14ac:dyDescent="0.45">
      <c r="A277" s="25">
        <v>43282</v>
      </c>
      <c r="B277">
        <v>3001</v>
      </c>
      <c r="C277" t="s">
        <v>41</v>
      </c>
      <c r="D277" s="19">
        <v>-268</v>
      </c>
    </row>
    <row r="278" spans="1:4" x14ac:dyDescent="0.45">
      <c r="A278" s="25">
        <v>43282</v>
      </c>
      <c r="B278">
        <v>3002</v>
      </c>
      <c r="C278" t="s">
        <v>42</v>
      </c>
      <c r="D278" s="19">
        <v>-9</v>
      </c>
    </row>
    <row r="279" spans="1:4" x14ac:dyDescent="0.45">
      <c r="A279" s="25">
        <v>43282</v>
      </c>
      <c r="B279">
        <v>3003</v>
      </c>
      <c r="C279" t="s">
        <v>43</v>
      </c>
      <c r="D279" s="19">
        <v>-418</v>
      </c>
    </row>
    <row r="280" spans="1:4" x14ac:dyDescent="0.45">
      <c r="A280" s="25">
        <v>43282</v>
      </c>
      <c r="B280">
        <v>3004</v>
      </c>
      <c r="C280" t="s">
        <v>44</v>
      </c>
      <c r="D280" s="19">
        <v>-626</v>
      </c>
    </row>
    <row r="281" spans="1:4" x14ac:dyDescent="0.45">
      <c r="A281" s="25">
        <v>43282</v>
      </c>
      <c r="B281">
        <v>3005</v>
      </c>
      <c r="C281" t="s">
        <v>45</v>
      </c>
      <c r="D281" s="19">
        <v>-225</v>
      </c>
    </row>
    <row r="282" spans="1:4" x14ac:dyDescent="0.45">
      <c r="A282" s="25">
        <v>43282</v>
      </c>
      <c r="B282">
        <v>3006</v>
      </c>
      <c r="C282" t="s">
        <v>46</v>
      </c>
      <c r="D282" s="19">
        <v>-365</v>
      </c>
    </row>
    <row r="283" spans="1:4" x14ac:dyDescent="0.45">
      <c r="A283" s="25">
        <v>43282</v>
      </c>
      <c r="B283">
        <v>3007</v>
      </c>
      <c r="C283" t="s">
        <v>47</v>
      </c>
      <c r="D283" s="19">
        <v>-221</v>
      </c>
    </row>
    <row r="284" spans="1:4" x14ac:dyDescent="0.45">
      <c r="A284" s="25">
        <v>43282</v>
      </c>
      <c r="B284">
        <v>3008</v>
      </c>
      <c r="C284" t="s">
        <v>48</v>
      </c>
      <c r="D284" s="19">
        <v>-804</v>
      </c>
    </row>
    <row r="285" spans="1:4" x14ac:dyDescent="0.45">
      <c r="A285" s="25">
        <v>43282</v>
      </c>
      <c r="B285">
        <v>3009</v>
      </c>
      <c r="C285" t="s">
        <v>49</v>
      </c>
      <c r="D285" s="19">
        <v>-88</v>
      </c>
    </row>
    <row r="286" spans="1:4" x14ac:dyDescent="0.45">
      <c r="A286" s="25">
        <v>43282</v>
      </c>
      <c r="B286">
        <v>4001</v>
      </c>
      <c r="C286" t="s">
        <v>52</v>
      </c>
      <c r="D286" s="19">
        <v>-712</v>
      </c>
    </row>
    <row r="287" spans="1:4" x14ac:dyDescent="0.45">
      <c r="A287" s="25">
        <v>43282</v>
      </c>
      <c r="B287">
        <v>4002</v>
      </c>
      <c r="C287" t="s">
        <v>53</v>
      </c>
      <c r="D287" s="19">
        <v>-374</v>
      </c>
    </row>
    <row r="288" spans="1:4" x14ac:dyDescent="0.45">
      <c r="A288" s="25">
        <v>43282</v>
      </c>
      <c r="B288">
        <v>4003</v>
      </c>
      <c r="C288" t="s">
        <v>54</v>
      </c>
      <c r="D288" s="19">
        <v>-700</v>
      </c>
    </row>
    <row r="289" spans="1:4" x14ac:dyDescent="0.45">
      <c r="A289" s="25">
        <v>43282</v>
      </c>
      <c r="B289">
        <v>5001</v>
      </c>
      <c r="C289" t="s">
        <v>57</v>
      </c>
      <c r="D289" s="19">
        <v>-60878</v>
      </c>
    </row>
    <row r="290" spans="1:4" x14ac:dyDescent="0.45">
      <c r="A290" s="25">
        <v>43282</v>
      </c>
      <c r="B290">
        <v>5002</v>
      </c>
      <c r="C290" t="s">
        <v>58</v>
      </c>
      <c r="D290" s="19">
        <v>-15899</v>
      </c>
    </row>
    <row r="291" spans="1:4" x14ac:dyDescent="0.45">
      <c r="A291" s="25">
        <v>43282</v>
      </c>
      <c r="B291">
        <v>5003</v>
      </c>
      <c r="C291" t="s">
        <v>59</v>
      </c>
      <c r="D291" s="19">
        <v>-68882</v>
      </c>
    </row>
    <row r="292" spans="1:4" x14ac:dyDescent="0.45">
      <c r="A292" s="25">
        <v>43282</v>
      </c>
      <c r="B292">
        <v>5004</v>
      </c>
      <c r="C292" t="s">
        <v>60</v>
      </c>
      <c r="D292" s="19">
        <v>-92078</v>
      </c>
    </row>
    <row r="293" spans="1:4" x14ac:dyDescent="0.45">
      <c r="A293" s="25">
        <v>43282</v>
      </c>
      <c r="B293">
        <v>5005</v>
      </c>
      <c r="C293" t="s">
        <v>61</v>
      </c>
      <c r="D293" s="19">
        <v>-86047</v>
      </c>
    </row>
    <row r="294" spans="1:4" x14ac:dyDescent="0.45">
      <c r="A294" s="25">
        <v>43282</v>
      </c>
      <c r="B294">
        <v>5006</v>
      </c>
      <c r="C294" t="s">
        <v>62</v>
      </c>
      <c r="D294" s="19">
        <v>-8992</v>
      </c>
    </row>
    <row r="295" spans="1:4" x14ac:dyDescent="0.45">
      <c r="A295" s="25">
        <v>43282</v>
      </c>
      <c r="B295">
        <v>5007</v>
      </c>
      <c r="C295" t="s">
        <v>63</v>
      </c>
      <c r="D295" s="19">
        <v>-53293</v>
      </c>
    </row>
    <row r="296" spans="1:4" x14ac:dyDescent="0.45">
      <c r="A296" s="25">
        <v>43282</v>
      </c>
      <c r="B296">
        <v>5008</v>
      </c>
      <c r="C296" t="s">
        <v>64</v>
      </c>
      <c r="D296" s="19">
        <v>-36703</v>
      </c>
    </row>
    <row r="297" spans="1:4" x14ac:dyDescent="0.45">
      <c r="A297" s="25">
        <v>43282</v>
      </c>
      <c r="B297">
        <v>5009</v>
      </c>
      <c r="C297" t="s">
        <v>65</v>
      </c>
      <c r="D297" s="19">
        <v>-14179</v>
      </c>
    </row>
    <row r="298" spans="1:4" x14ac:dyDescent="0.45">
      <c r="A298" s="25">
        <v>43282</v>
      </c>
      <c r="B298">
        <v>6002</v>
      </c>
      <c r="C298" t="s">
        <v>68</v>
      </c>
      <c r="D298" s="19">
        <v>-694</v>
      </c>
    </row>
    <row r="299" spans="1:4" x14ac:dyDescent="0.45">
      <c r="A299" s="25">
        <v>43282</v>
      </c>
      <c r="B299">
        <v>6003</v>
      </c>
      <c r="C299" t="s">
        <v>69</v>
      </c>
      <c r="D299" s="19">
        <v>-245</v>
      </c>
    </row>
    <row r="300" spans="1:4" x14ac:dyDescent="0.45">
      <c r="A300" s="25">
        <v>43282</v>
      </c>
      <c r="B300">
        <v>6004</v>
      </c>
      <c r="C300" t="s">
        <v>70</v>
      </c>
      <c r="D300" s="19">
        <v>-370</v>
      </c>
    </row>
    <row r="301" spans="1:4" x14ac:dyDescent="0.45">
      <c r="A301" s="25">
        <v>43282</v>
      </c>
      <c r="B301">
        <v>6005</v>
      </c>
      <c r="C301" t="s">
        <v>71</v>
      </c>
      <c r="D301" s="19">
        <v>-119</v>
      </c>
    </row>
    <row r="302" spans="1:4" x14ac:dyDescent="0.45">
      <c r="A302" s="25">
        <v>43282</v>
      </c>
      <c r="B302">
        <v>6006</v>
      </c>
      <c r="C302" t="s">
        <v>72</v>
      </c>
      <c r="D302" s="19">
        <v>-464</v>
      </c>
    </row>
    <row r="303" spans="1:4" x14ac:dyDescent="0.45">
      <c r="A303" s="25">
        <v>43313</v>
      </c>
      <c r="B303">
        <v>2001</v>
      </c>
      <c r="C303" t="s">
        <v>22</v>
      </c>
      <c r="D303" s="19">
        <v>-139</v>
      </c>
    </row>
    <row r="304" spans="1:4" x14ac:dyDescent="0.45">
      <c r="A304" s="25">
        <v>43313</v>
      </c>
      <c r="B304">
        <v>2002</v>
      </c>
      <c r="C304" t="s">
        <v>23</v>
      </c>
      <c r="D304" s="19">
        <v>-199</v>
      </c>
    </row>
    <row r="305" spans="1:4" x14ac:dyDescent="0.45">
      <c r="A305" s="25">
        <v>43313</v>
      </c>
      <c r="B305">
        <v>2003</v>
      </c>
      <c r="C305" t="s">
        <v>24</v>
      </c>
      <c r="D305" s="19">
        <v>-536</v>
      </c>
    </row>
    <row r="306" spans="1:4" x14ac:dyDescent="0.45">
      <c r="A306" s="25">
        <v>43313</v>
      </c>
      <c r="B306">
        <v>2004</v>
      </c>
      <c r="C306" t="s">
        <v>25</v>
      </c>
      <c r="D306" s="19">
        <v>-625</v>
      </c>
    </row>
    <row r="307" spans="1:4" x14ac:dyDescent="0.45">
      <c r="A307" s="25">
        <v>43313</v>
      </c>
      <c r="B307">
        <v>2005</v>
      </c>
      <c r="C307" t="s">
        <v>26</v>
      </c>
      <c r="D307" s="19">
        <v>-951</v>
      </c>
    </row>
    <row r="308" spans="1:4" x14ac:dyDescent="0.45">
      <c r="A308" s="25">
        <v>43313</v>
      </c>
      <c r="B308">
        <v>2006</v>
      </c>
      <c r="C308" t="s">
        <v>27</v>
      </c>
      <c r="D308" s="19">
        <v>-81</v>
      </c>
    </row>
    <row r="309" spans="1:4" x14ac:dyDescent="0.45">
      <c r="A309" s="25">
        <v>43313</v>
      </c>
      <c r="B309">
        <v>2007</v>
      </c>
      <c r="C309" t="s">
        <v>28</v>
      </c>
      <c r="D309" s="19">
        <v>-677</v>
      </c>
    </row>
    <row r="310" spans="1:4" x14ac:dyDescent="0.45">
      <c r="A310" s="25">
        <v>43313</v>
      </c>
      <c r="B310">
        <v>2008</v>
      </c>
      <c r="C310" t="s">
        <v>29</v>
      </c>
      <c r="D310" s="19">
        <v>-227</v>
      </c>
    </row>
    <row r="311" spans="1:4" x14ac:dyDescent="0.45">
      <c r="A311" s="25">
        <v>43313</v>
      </c>
      <c r="B311">
        <v>2009</v>
      </c>
      <c r="C311" t="s">
        <v>30</v>
      </c>
      <c r="D311" s="19">
        <v>-577</v>
      </c>
    </row>
    <row r="312" spans="1:4" x14ac:dyDescent="0.45">
      <c r="A312" s="25">
        <v>43313</v>
      </c>
      <c r="B312">
        <v>2010</v>
      </c>
      <c r="C312" t="s">
        <v>31</v>
      </c>
      <c r="D312" s="19">
        <v>-627</v>
      </c>
    </row>
    <row r="313" spans="1:4" x14ac:dyDescent="0.45">
      <c r="A313" s="25">
        <v>43313</v>
      </c>
      <c r="B313">
        <v>2011</v>
      </c>
      <c r="C313" t="s">
        <v>32</v>
      </c>
      <c r="D313" s="19">
        <v>-845</v>
      </c>
    </row>
    <row r="314" spans="1:4" x14ac:dyDescent="0.45">
      <c r="A314" s="25">
        <v>43313</v>
      </c>
      <c r="B314">
        <v>2012</v>
      </c>
      <c r="C314" t="s">
        <v>33</v>
      </c>
      <c r="D314" s="19">
        <v>-266</v>
      </c>
    </row>
    <row r="315" spans="1:4" x14ac:dyDescent="0.45">
      <c r="A315" s="25">
        <v>43313</v>
      </c>
      <c r="B315">
        <v>2013</v>
      </c>
      <c r="C315" t="s">
        <v>34</v>
      </c>
      <c r="D315" s="19">
        <v>-992</v>
      </c>
    </row>
    <row r="316" spans="1:4" x14ac:dyDescent="0.45">
      <c r="A316" s="25">
        <v>43313</v>
      </c>
      <c r="B316">
        <v>2014</v>
      </c>
      <c r="C316" t="s">
        <v>35</v>
      </c>
      <c r="D316" s="19">
        <v>-275</v>
      </c>
    </row>
    <row r="317" spans="1:4" x14ac:dyDescent="0.45">
      <c r="A317" s="25">
        <v>43313</v>
      </c>
      <c r="B317">
        <v>2015</v>
      </c>
      <c r="C317" t="s">
        <v>36</v>
      </c>
      <c r="D317" s="19">
        <v>-316</v>
      </c>
    </row>
    <row r="318" spans="1:4" x14ac:dyDescent="0.45">
      <c r="A318" s="25">
        <v>43313</v>
      </c>
      <c r="B318">
        <v>2016</v>
      </c>
      <c r="C318" t="s">
        <v>37</v>
      </c>
      <c r="D318" s="19">
        <v>-55</v>
      </c>
    </row>
    <row r="319" spans="1:4" x14ac:dyDescent="0.45">
      <c r="A319" s="25">
        <v>43313</v>
      </c>
      <c r="B319">
        <v>2017</v>
      </c>
      <c r="C319" t="s">
        <v>38</v>
      </c>
      <c r="D319" s="19">
        <v>-939</v>
      </c>
    </row>
    <row r="320" spans="1:4" x14ac:dyDescent="0.45">
      <c r="A320" s="25">
        <v>43313</v>
      </c>
      <c r="B320">
        <v>3001</v>
      </c>
      <c r="C320" t="s">
        <v>41</v>
      </c>
      <c r="D320" s="19">
        <v>-833</v>
      </c>
    </row>
    <row r="321" spans="1:4" x14ac:dyDescent="0.45">
      <c r="A321" s="25">
        <v>43313</v>
      </c>
      <c r="B321">
        <v>3002</v>
      </c>
      <c r="C321" t="s">
        <v>42</v>
      </c>
      <c r="D321" s="19">
        <v>-393</v>
      </c>
    </row>
    <row r="322" spans="1:4" x14ac:dyDescent="0.45">
      <c r="A322" s="25">
        <v>43313</v>
      </c>
      <c r="B322">
        <v>3003</v>
      </c>
      <c r="C322" t="s">
        <v>43</v>
      </c>
      <c r="D322" s="19">
        <v>-205</v>
      </c>
    </row>
    <row r="323" spans="1:4" x14ac:dyDescent="0.45">
      <c r="A323" s="25">
        <v>43313</v>
      </c>
      <c r="B323">
        <v>3004</v>
      </c>
      <c r="C323" t="s">
        <v>44</v>
      </c>
      <c r="D323" s="19">
        <v>-455</v>
      </c>
    </row>
    <row r="324" spans="1:4" x14ac:dyDescent="0.45">
      <c r="A324" s="25">
        <v>43313</v>
      </c>
      <c r="B324">
        <v>3005</v>
      </c>
      <c r="C324" t="s">
        <v>45</v>
      </c>
      <c r="D324" s="19">
        <v>-942</v>
      </c>
    </row>
    <row r="325" spans="1:4" x14ac:dyDescent="0.45">
      <c r="A325" s="25">
        <v>43313</v>
      </c>
      <c r="B325">
        <v>3006</v>
      </c>
      <c r="C325" t="s">
        <v>46</v>
      </c>
      <c r="D325" s="19">
        <v>-536</v>
      </c>
    </row>
    <row r="326" spans="1:4" x14ac:dyDescent="0.45">
      <c r="A326" s="25">
        <v>43313</v>
      </c>
      <c r="B326">
        <v>3007</v>
      </c>
      <c r="C326" t="s">
        <v>47</v>
      </c>
      <c r="D326" s="19">
        <v>-15</v>
      </c>
    </row>
    <row r="327" spans="1:4" x14ac:dyDescent="0.45">
      <c r="A327" s="25">
        <v>43313</v>
      </c>
      <c r="B327">
        <v>3008</v>
      </c>
      <c r="C327" t="s">
        <v>48</v>
      </c>
      <c r="D327" s="19">
        <v>-483</v>
      </c>
    </row>
    <row r="328" spans="1:4" x14ac:dyDescent="0.45">
      <c r="A328" s="25">
        <v>43313</v>
      </c>
      <c r="B328">
        <v>3009</v>
      </c>
      <c r="C328" t="s">
        <v>49</v>
      </c>
      <c r="D328" s="19">
        <v>-802</v>
      </c>
    </row>
    <row r="329" spans="1:4" x14ac:dyDescent="0.45">
      <c r="A329" s="25">
        <v>43313</v>
      </c>
      <c r="B329">
        <v>4001</v>
      </c>
      <c r="C329" t="s">
        <v>52</v>
      </c>
      <c r="D329" s="19">
        <v>-153</v>
      </c>
    </row>
    <row r="330" spans="1:4" x14ac:dyDescent="0.45">
      <c r="A330" s="25">
        <v>43313</v>
      </c>
      <c r="B330">
        <v>4002</v>
      </c>
      <c r="C330" t="s">
        <v>53</v>
      </c>
      <c r="D330" s="19">
        <v>-83</v>
      </c>
    </row>
    <row r="331" spans="1:4" x14ac:dyDescent="0.45">
      <c r="A331" s="25">
        <v>43313</v>
      </c>
      <c r="B331">
        <v>4003</v>
      </c>
      <c r="C331" t="s">
        <v>54</v>
      </c>
      <c r="D331" s="19">
        <v>-188</v>
      </c>
    </row>
    <row r="332" spans="1:4" x14ac:dyDescent="0.45">
      <c r="A332" s="25">
        <v>43313</v>
      </c>
      <c r="B332">
        <v>5001</v>
      </c>
      <c r="C332" t="s">
        <v>57</v>
      </c>
      <c r="D332" s="19">
        <v>-16040</v>
      </c>
    </row>
    <row r="333" spans="1:4" x14ac:dyDescent="0.45">
      <c r="A333" s="25">
        <v>43313</v>
      </c>
      <c r="B333">
        <v>5002</v>
      </c>
      <c r="C333" t="s">
        <v>58</v>
      </c>
      <c r="D333" s="19">
        <v>-57619</v>
      </c>
    </row>
    <row r="334" spans="1:4" x14ac:dyDescent="0.45">
      <c r="A334" s="25">
        <v>43313</v>
      </c>
      <c r="B334">
        <v>5003</v>
      </c>
      <c r="C334" t="s">
        <v>59</v>
      </c>
      <c r="D334" s="19">
        <v>-23967</v>
      </c>
    </row>
    <row r="335" spans="1:4" x14ac:dyDescent="0.45">
      <c r="A335" s="25">
        <v>43313</v>
      </c>
      <c r="B335">
        <v>5004</v>
      </c>
      <c r="C335" t="s">
        <v>60</v>
      </c>
      <c r="D335" s="19">
        <v>-46031</v>
      </c>
    </row>
    <row r="336" spans="1:4" x14ac:dyDescent="0.45">
      <c r="A336" s="25">
        <v>43313</v>
      </c>
      <c r="B336">
        <v>5005</v>
      </c>
      <c r="C336" t="s">
        <v>61</v>
      </c>
      <c r="D336" s="19">
        <v>-44565</v>
      </c>
    </row>
    <row r="337" spans="1:4" x14ac:dyDescent="0.45">
      <c r="A337" s="25">
        <v>43313</v>
      </c>
      <c r="B337">
        <v>5006</v>
      </c>
      <c r="C337" t="s">
        <v>62</v>
      </c>
      <c r="D337" s="19">
        <v>-872</v>
      </c>
    </row>
    <row r="338" spans="1:4" x14ac:dyDescent="0.45">
      <c r="A338" s="25">
        <v>43313</v>
      </c>
      <c r="B338">
        <v>5007</v>
      </c>
      <c r="C338" t="s">
        <v>63</v>
      </c>
      <c r="D338" s="19">
        <v>-93581</v>
      </c>
    </row>
    <row r="339" spans="1:4" x14ac:dyDescent="0.45">
      <c r="A339" s="25">
        <v>43313</v>
      </c>
      <c r="B339">
        <v>5008</v>
      </c>
      <c r="C339" t="s">
        <v>64</v>
      </c>
      <c r="D339" s="19">
        <v>-84065</v>
      </c>
    </row>
    <row r="340" spans="1:4" x14ac:dyDescent="0.45">
      <c r="A340" s="25">
        <v>43313</v>
      </c>
      <c r="B340">
        <v>5009</v>
      </c>
      <c r="C340" t="s">
        <v>65</v>
      </c>
      <c r="D340" s="19">
        <v>-87126</v>
      </c>
    </row>
    <row r="341" spans="1:4" x14ac:dyDescent="0.45">
      <c r="A341" s="25">
        <v>43313</v>
      </c>
      <c r="B341">
        <v>6002</v>
      </c>
      <c r="C341" t="s">
        <v>68</v>
      </c>
      <c r="D341" s="19">
        <v>-832</v>
      </c>
    </row>
    <row r="342" spans="1:4" x14ac:dyDescent="0.45">
      <c r="A342" s="25">
        <v>43313</v>
      </c>
      <c r="B342">
        <v>6003</v>
      </c>
      <c r="C342" t="s">
        <v>69</v>
      </c>
      <c r="D342" s="19">
        <v>-37</v>
      </c>
    </row>
    <row r="343" spans="1:4" x14ac:dyDescent="0.45">
      <c r="A343" s="25">
        <v>43313</v>
      </c>
      <c r="B343">
        <v>6004</v>
      </c>
      <c r="C343" t="s">
        <v>70</v>
      </c>
      <c r="D343" s="19">
        <v>-992</v>
      </c>
    </row>
    <row r="344" spans="1:4" x14ac:dyDescent="0.45">
      <c r="A344" s="25">
        <v>43313</v>
      </c>
      <c r="B344">
        <v>6005</v>
      </c>
      <c r="C344" t="s">
        <v>71</v>
      </c>
      <c r="D344" s="19">
        <v>-931</v>
      </c>
    </row>
    <row r="345" spans="1:4" x14ac:dyDescent="0.45">
      <c r="A345" s="25">
        <v>43313</v>
      </c>
      <c r="B345">
        <v>6006</v>
      </c>
      <c r="C345" t="s">
        <v>72</v>
      </c>
      <c r="D345" s="19">
        <v>-338</v>
      </c>
    </row>
    <row r="346" spans="1:4" x14ac:dyDescent="0.45">
      <c r="A346" s="25">
        <v>43344</v>
      </c>
      <c r="B346">
        <v>2001</v>
      </c>
      <c r="C346" t="s">
        <v>22</v>
      </c>
      <c r="D346" s="19">
        <v>-559</v>
      </c>
    </row>
    <row r="347" spans="1:4" x14ac:dyDescent="0.45">
      <c r="A347" s="25">
        <v>43344</v>
      </c>
      <c r="B347">
        <v>2002</v>
      </c>
      <c r="C347" t="s">
        <v>23</v>
      </c>
      <c r="D347" s="19">
        <v>-546</v>
      </c>
    </row>
    <row r="348" spans="1:4" x14ac:dyDescent="0.45">
      <c r="A348" s="25">
        <v>43344</v>
      </c>
      <c r="B348">
        <v>2003</v>
      </c>
      <c r="C348" t="s">
        <v>24</v>
      </c>
      <c r="D348" s="19">
        <v>-258</v>
      </c>
    </row>
    <row r="349" spans="1:4" x14ac:dyDescent="0.45">
      <c r="A349" s="25">
        <v>43344</v>
      </c>
      <c r="B349">
        <v>2004</v>
      </c>
      <c r="C349" t="s">
        <v>25</v>
      </c>
      <c r="D349" s="19">
        <v>-867</v>
      </c>
    </row>
    <row r="350" spans="1:4" x14ac:dyDescent="0.45">
      <c r="A350" s="25">
        <v>43344</v>
      </c>
      <c r="B350">
        <v>2005</v>
      </c>
      <c r="C350" t="s">
        <v>26</v>
      </c>
      <c r="D350" s="19">
        <v>-510</v>
      </c>
    </row>
    <row r="351" spans="1:4" x14ac:dyDescent="0.45">
      <c r="A351" s="25">
        <v>43344</v>
      </c>
      <c r="B351">
        <v>2006</v>
      </c>
      <c r="C351" t="s">
        <v>27</v>
      </c>
      <c r="D351" s="19">
        <v>-432</v>
      </c>
    </row>
    <row r="352" spans="1:4" x14ac:dyDescent="0.45">
      <c r="A352" s="25">
        <v>43344</v>
      </c>
      <c r="B352">
        <v>2007</v>
      </c>
      <c r="C352" t="s">
        <v>28</v>
      </c>
      <c r="D352" s="19">
        <v>-112</v>
      </c>
    </row>
    <row r="353" spans="1:4" x14ac:dyDescent="0.45">
      <c r="A353" s="25">
        <v>43344</v>
      </c>
      <c r="B353">
        <v>2008</v>
      </c>
      <c r="C353" t="s">
        <v>29</v>
      </c>
      <c r="D353" s="19">
        <v>-772</v>
      </c>
    </row>
    <row r="354" spans="1:4" x14ac:dyDescent="0.45">
      <c r="A354" s="25">
        <v>43344</v>
      </c>
      <c r="B354">
        <v>2009</v>
      </c>
      <c r="C354" t="s">
        <v>30</v>
      </c>
      <c r="D354" s="19">
        <v>-893</v>
      </c>
    </row>
    <row r="355" spans="1:4" x14ac:dyDescent="0.45">
      <c r="A355" s="25">
        <v>43344</v>
      </c>
      <c r="B355">
        <v>2010</v>
      </c>
      <c r="C355" t="s">
        <v>31</v>
      </c>
      <c r="D355" s="19">
        <v>-752</v>
      </c>
    </row>
    <row r="356" spans="1:4" x14ac:dyDescent="0.45">
      <c r="A356" s="25">
        <v>43344</v>
      </c>
      <c r="B356">
        <v>2011</v>
      </c>
      <c r="C356" t="s">
        <v>32</v>
      </c>
      <c r="D356" s="19">
        <v>-749</v>
      </c>
    </row>
    <row r="357" spans="1:4" x14ac:dyDescent="0.45">
      <c r="A357" s="25">
        <v>43344</v>
      </c>
      <c r="B357">
        <v>2012</v>
      </c>
      <c r="C357" t="s">
        <v>33</v>
      </c>
      <c r="D357" s="19">
        <v>-528</v>
      </c>
    </row>
    <row r="358" spans="1:4" x14ac:dyDescent="0.45">
      <c r="A358" s="25">
        <v>43344</v>
      </c>
      <c r="B358">
        <v>2013</v>
      </c>
      <c r="C358" t="s">
        <v>34</v>
      </c>
      <c r="D358" s="19">
        <v>-788</v>
      </c>
    </row>
    <row r="359" spans="1:4" x14ac:dyDescent="0.45">
      <c r="A359" s="25">
        <v>43344</v>
      </c>
      <c r="B359">
        <v>2014</v>
      </c>
      <c r="C359" t="s">
        <v>35</v>
      </c>
      <c r="D359" s="19">
        <v>-772</v>
      </c>
    </row>
    <row r="360" spans="1:4" x14ac:dyDescent="0.45">
      <c r="A360" s="25">
        <v>43344</v>
      </c>
      <c r="B360">
        <v>2015</v>
      </c>
      <c r="C360" t="s">
        <v>36</v>
      </c>
      <c r="D360" s="19">
        <v>-257</v>
      </c>
    </row>
    <row r="361" spans="1:4" x14ac:dyDescent="0.45">
      <c r="A361" s="25">
        <v>43344</v>
      </c>
      <c r="B361">
        <v>2016</v>
      </c>
      <c r="C361" t="s">
        <v>37</v>
      </c>
      <c r="D361" s="19">
        <v>-991</v>
      </c>
    </row>
    <row r="362" spans="1:4" x14ac:dyDescent="0.45">
      <c r="A362" s="25">
        <v>43344</v>
      </c>
      <c r="B362">
        <v>2017</v>
      </c>
      <c r="C362" t="s">
        <v>38</v>
      </c>
      <c r="D362" s="19">
        <v>-820</v>
      </c>
    </row>
    <row r="363" spans="1:4" x14ac:dyDescent="0.45">
      <c r="A363" s="25">
        <v>43344</v>
      </c>
      <c r="B363">
        <v>3001</v>
      </c>
      <c r="C363" t="s">
        <v>41</v>
      </c>
      <c r="D363" s="19">
        <v>-17</v>
      </c>
    </row>
    <row r="364" spans="1:4" x14ac:dyDescent="0.45">
      <c r="A364" s="25">
        <v>43344</v>
      </c>
      <c r="B364">
        <v>3002</v>
      </c>
      <c r="C364" t="s">
        <v>42</v>
      </c>
      <c r="D364" s="19">
        <v>-345</v>
      </c>
    </row>
    <row r="365" spans="1:4" x14ac:dyDescent="0.45">
      <c r="A365" s="25">
        <v>43344</v>
      </c>
      <c r="B365">
        <v>3003</v>
      </c>
      <c r="C365" t="s">
        <v>43</v>
      </c>
      <c r="D365" s="19">
        <v>-494</v>
      </c>
    </row>
    <row r="366" spans="1:4" x14ac:dyDescent="0.45">
      <c r="A366" s="25">
        <v>43344</v>
      </c>
      <c r="B366">
        <v>3004</v>
      </c>
      <c r="C366" t="s">
        <v>44</v>
      </c>
      <c r="D366" s="19">
        <v>-23</v>
      </c>
    </row>
    <row r="367" spans="1:4" x14ac:dyDescent="0.45">
      <c r="A367" s="25">
        <v>43344</v>
      </c>
      <c r="B367">
        <v>3005</v>
      </c>
      <c r="C367" t="s">
        <v>45</v>
      </c>
      <c r="D367" s="19">
        <v>-553</v>
      </c>
    </row>
    <row r="368" spans="1:4" x14ac:dyDescent="0.45">
      <c r="A368" s="25">
        <v>43344</v>
      </c>
      <c r="B368">
        <v>3006</v>
      </c>
      <c r="C368" t="s">
        <v>46</v>
      </c>
      <c r="D368" s="19">
        <v>-675</v>
      </c>
    </row>
    <row r="369" spans="1:4" x14ac:dyDescent="0.45">
      <c r="A369" s="25">
        <v>43344</v>
      </c>
      <c r="B369">
        <v>3007</v>
      </c>
      <c r="C369" t="s">
        <v>47</v>
      </c>
      <c r="D369" s="19">
        <v>-17</v>
      </c>
    </row>
    <row r="370" spans="1:4" x14ac:dyDescent="0.45">
      <c r="A370" s="25">
        <v>43344</v>
      </c>
      <c r="B370">
        <v>3008</v>
      </c>
      <c r="C370" t="s">
        <v>48</v>
      </c>
      <c r="D370" s="19">
        <v>-492</v>
      </c>
    </row>
    <row r="371" spans="1:4" x14ac:dyDescent="0.45">
      <c r="A371" s="25">
        <v>43344</v>
      </c>
      <c r="B371">
        <v>3009</v>
      </c>
      <c r="C371" t="s">
        <v>49</v>
      </c>
      <c r="D371" s="19">
        <v>-475</v>
      </c>
    </row>
    <row r="372" spans="1:4" x14ac:dyDescent="0.45">
      <c r="A372" s="25">
        <v>43344</v>
      </c>
      <c r="B372">
        <v>4001</v>
      </c>
      <c r="C372" t="s">
        <v>52</v>
      </c>
      <c r="D372" s="19">
        <v>-587</v>
      </c>
    </row>
    <row r="373" spans="1:4" x14ac:dyDescent="0.45">
      <c r="A373" s="25">
        <v>43344</v>
      </c>
      <c r="B373">
        <v>4002</v>
      </c>
      <c r="C373" t="s">
        <v>53</v>
      </c>
      <c r="D373" s="19">
        <v>-307</v>
      </c>
    </row>
    <row r="374" spans="1:4" x14ac:dyDescent="0.45">
      <c r="A374" s="25">
        <v>43344</v>
      </c>
      <c r="B374">
        <v>4003</v>
      </c>
      <c r="C374" t="s">
        <v>54</v>
      </c>
      <c r="D374" s="19">
        <v>-565</v>
      </c>
    </row>
    <row r="375" spans="1:4" x14ac:dyDescent="0.45">
      <c r="A375" s="25">
        <v>43344</v>
      </c>
      <c r="B375">
        <v>5001</v>
      </c>
      <c r="C375" t="s">
        <v>57</v>
      </c>
      <c r="D375" s="19">
        <v>-94406</v>
      </c>
    </row>
    <row r="376" spans="1:4" x14ac:dyDescent="0.45">
      <c r="A376" s="25">
        <v>43344</v>
      </c>
      <c r="B376">
        <v>5002</v>
      </c>
      <c r="C376" t="s">
        <v>58</v>
      </c>
      <c r="D376" s="19">
        <v>-74242</v>
      </c>
    </row>
    <row r="377" spans="1:4" x14ac:dyDescent="0.45">
      <c r="A377" s="25">
        <v>43344</v>
      </c>
      <c r="B377">
        <v>5003</v>
      </c>
      <c r="C377" t="s">
        <v>59</v>
      </c>
      <c r="D377" s="19">
        <v>-42046</v>
      </c>
    </row>
    <row r="378" spans="1:4" x14ac:dyDescent="0.45">
      <c r="A378" s="25">
        <v>43344</v>
      </c>
      <c r="B378">
        <v>5004</v>
      </c>
      <c r="C378" t="s">
        <v>60</v>
      </c>
      <c r="D378" s="19">
        <v>-13914</v>
      </c>
    </row>
    <row r="379" spans="1:4" x14ac:dyDescent="0.45">
      <c r="A379" s="25">
        <v>43344</v>
      </c>
      <c r="B379">
        <v>5005</v>
      </c>
      <c r="C379" t="s">
        <v>61</v>
      </c>
      <c r="D379" s="19">
        <v>-38265</v>
      </c>
    </row>
    <row r="380" spans="1:4" x14ac:dyDescent="0.45">
      <c r="A380" s="25">
        <v>43344</v>
      </c>
      <c r="B380">
        <v>5006</v>
      </c>
      <c r="C380" t="s">
        <v>62</v>
      </c>
      <c r="D380" s="19">
        <v>-2320</v>
      </c>
    </row>
    <row r="381" spans="1:4" x14ac:dyDescent="0.45">
      <c r="A381" s="25">
        <v>43344</v>
      </c>
      <c r="B381">
        <v>5007</v>
      </c>
      <c r="C381" t="s">
        <v>63</v>
      </c>
      <c r="D381" s="19">
        <v>-9739</v>
      </c>
    </row>
    <row r="382" spans="1:4" x14ac:dyDescent="0.45">
      <c r="A382" s="25">
        <v>43344</v>
      </c>
      <c r="B382">
        <v>5008</v>
      </c>
      <c r="C382" t="s">
        <v>64</v>
      </c>
      <c r="D382" s="19">
        <v>-22642</v>
      </c>
    </row>
    <row r="383" spans="1:4" x14ac:dyDescent="0.45">
      <c r="A383" s="25">
        <v>43344</v>
      </c>
      <c r="B383">
        <v>5009</v>
      </c>
      <c r="C383" t="s">
        <v>65</v>
      </c>
      <c r="D383" s="19">
        <v>-74981</v>
      </c>
    </row>
    <row r="384" spans="1:4" x14ac:dyDescent="0.45">
      <c r="A384" s="25">
        <v>43344</v>
      </c>
      <c r="B384">
        <v>6002</v>
      </c>
      <c r="C384" t="s">
        <v>68</v>
      </c>
      <c r="D384" s="19">
        <v>-813</v>
      </c>
    </row>
    <row r="385" spans="1:4" x14ac:dyDescent="0.45">
      <c r="A385" s="25">
        <v>43344</v>
      </c>
      <c r="B385">
        <v>6003</v>
      </c>
      <c r="C385" t="s">
        <v>69</v>
      </c>
      <c r="D385" s="19">
        <v>-745</v>
      </c>
    </row>
    <row r="386" spans="1:4" x14ac:dyDescent="0.45">
      <c r="A386" s="25">
        <v>43344</v>
      </c>
      <c r="B386">
        <v>6004</v>
      </c>
      <c r="C386" t="s">
        <v>70</v>
      </c>
      <c r="D386" s="19">
        <v>-584</v>
      </c>
    </row>
    <row r="387" spans="1:4" x14ac:dyDescent="0.45">
      <c r="A387" s="25">
        <v>43344</v>
      </c>
      <c r="B387">
        <v>6005</v>
      </c>
      <c r="C387" t="s">
        <v>71</v>
      </c>
      <c r="D387" s="19">
        <v>-777</v>
      </c>
    </row>
    <row r="388" spans="1:4" x14ac:dyDescent="0.45">
      <c r="A388" s="25">
        <v>43344</v>
      </c>
      <c r="B388">
        <v>6006</v>
      </c>
      <c r="C388" t="s">
        <v>72</v>
      </c>
      <c r="D388" s="19">
        <v>-923</v>
      </c>
    </row>
    <row r="389" spans="1:4" x14ac:dyDescent="0.45">
      <c r="A389" s="25">
        <v>43374</v>
      </c>
      <c r="B389">
        <v>2001</v>
      </c>
      <c r="C389" t="s">
        <v>22</v>
      </c>
      <c r="D389" s="19">
        <v>-582</v>
      </c>
    </row>
    <row r="390" spans="1:4" x14ac:dyDescent="0.45">
      <c r="A390" s="25">
        <v>43374</v>
      </c>
      <c r="B390">
        <v>2002</v>
      </c>
      <c r="C390" t="s">
        <v>23</v>
      </c>
      <c r="D390" s="19">
        <v>-937</v>
      </c>
    </row>
    <row r="391" spans="1:4" x14ac:dyDescent="0.45">
      <c r="A391" s="25">
        <v>43374</v>
      </c>
      <c r="B391">
        <v>2003</v>
      </c>
      <c r="C391" t="s">
        <v>24</v>
      </c>
      <c r="D391" s="19">
        <v>-879</v>
      </c>
    </row>
    <row r="392" spans="1:4" x14ac:dyDescent="0.45">
      <c r="A392" s="25">
        <v>43374</v>
      </c>
      <c r="B392">
        <v>2004</v>
      </c>
      <c r="C392" t="s">
        <v>25</v>
      </c>
      <c r="D392" s="19">
        <v>-835</v>
      </c>
    </row>
    <row r="393" spans="1:4" x14ac:dyDescent="0.45">
      <c r="A393" s="25">
        <v>43374</v>
      </c>
      <c r="B393">
        <v>2005</v>
      </c>
      <c r="C393" t="s">
        <v>26</v>
      </c>
      <c r="D393" s="19">
        <v>-333</v>
      </c>
    </row>
    <row r="394" spans="1:4" x14ac:dyDescent="0.45">
      <c r="A394" s="25">
        <v>43374</v>
      </c>
      <c r="B394">
        <v>2006</v>
      </c>
      <c r="C394" t="s">
        <v>27</v>
      </c>
      <c r="D394" s="19">
        <v>-554</v>
      </c>
    </row>
    <row r="395" spans="1:4" x14ac:dyDescent="0.45">
      <c r="A395" s="25">
        <v>43374</v>
      </c>
      <c r="B395">
        <v>2007</v>
      </c>
      <c r="C395" t="s">
        <v>28</v>
      </c>
      <c r="D395" s="19">
        <v>-774</v>
      </c>
    </row>
    <row r="396" spans="1:4" x14ac:dyDescent="0.45">
      <c r="A396" s="25">
        <v>43374</v>
      </c>
      <c r="B396">
        <v>2008</v>
      </c>
      <c r="C396" t="s">
        <v>29</v>
      </c>
      <c r="D396" s="19">
        <v>-502</v>
      </c>
    </row>
    <row r="397" spans="1:4" x14ac:dyDescent="0.45">
      <c r="A397" s="25">
        <v>43374</v>
      </c>
      <c r="B397">
        <v>2009</v>
      </c>
      <c r="C397" t="s">
        <v>30</v>
      </c>
      <c r="D397" s="19">
        <v>-550</v>
      </c>
    </row>
    <row r="398" spans="1:4" x14ac:dyDescent="0.45">
      <c r="A398" s="25">
        <v>43374</v>
      </c>
      <c r="B398">
        <v>2010</v>
      </c>
      <c r="C398" t="s">
        <v>31</v>
      </c>
      <c r="D398" s="19">
        <v>-696</v>
      </c>
    </row>
    <row r="399" spans="1:4" x14ac:dyDescent="0.45">
      <c r="A399" s="25">
        <v>43374</v>
      </c>
      <c r="B399">
        <v>2011</v>
      </c>
      <c r="C399" t="s">
        <v>32</v>
      </c>
      <c r="D399" s="19">
        <v>-136</v>
      </c>
    </row>
    <row r="400" spans="1:4" x14ac:dyDescent="0.45">
      <c r="A400" s="25">
        <v>43374</v>
      </c>
      <c r="B400">
        <v>2012</v>
      </c>
      <c r="C400" t="s">
        <v>33</v>
      </c>
      <c r="D400" s="19">
        <v>-155</v>
      </c>
    </row>
    <row r="401" spans="1:4" x14ac:dyDescent="0.45">
      <c r="A401" s="25">
        <v>43374</v>
      </c>
      <c r="B401">
        <v>2013</v>
      </c>
      <c r="C401" t="s">
        <v>34</v>
      </c>
      <c r="D401" s="19">
        <v>-392</v>
      </c>
    </row>
    <row r="402" spans="1:4" x14ac:dyDescent="0.45">
      <c r="A402" s="25">
        <v>43374</v>
      </c>
      <c r="B402">
        <v>2014</v>
      </c>
      <c r="C402" t="s">
        <v>35</v>
      </c>
      <c r="D402" s="19">
        <v>-800</v>
      </c>
    </row>
    <row r="403" spans="1:4" x14ac:dyDescent="0.45">
      <c r="A403" s="25">
        <v>43374</v>
      </c>
      <c r="B403">
        <v>2015</v>
      </c>
      <c r="C403" t="s">
        <v>36</v>
      </c>
      <c r="D403" s="19">
        <v>-957</v>
      </c>
    </row>
    <row r="404" spans="1:4" x14ac:dyDescent="0.45">
      <c r="A404" s="25">
        <v>43374</v>
      </c>
      <c r="B404">
        <v>2016</v>
      </c>
      <c r="C404" t="s">
        <v>37</v>
      </c>
      <c r="D404" s="19">
        <v>-514</v>
      </c>
    </row>
    <row r="405" spans="1:4" x14ac:dyDescent="0.45">
      <c r="A405" s="25">
        <v>43374</v>
      </c>
      <c r="B405">
        <v>2017</v>
      </c>
      <c r="C405" t="s">
        <v>38</v>
      </c>
      <c r="D405" s="19">
        <v>-5</v>
      </c>
    </row>
    <row r="406" spans="1:4" x14ac:dyDescent="0.45">
      <c r="A406" s="25">
        <v>43374</v>
      </c>
      <c r="B406">
        <v>3001</v>
      </c>
      <c r="C406" t="s">
        <v>41</v>
      </c>
      <c r="D406" s="19">
        <v>-524</v>
      </c>
    </row>
    <row r="407" spans="1:4" x14ac:dyDescent="0.45">
      <c r="A407" s="25">
        <v>43374</v>
      </c>
      <c r="B407">
        <v>3002</v>
      </c>
      <c r="C407" t="s">
        <v>42</v>
      </c>
      <c r="D407" s="19">
        <v>-601</v>
      </c>
    </row>
    <row r="408" spans="1:4" x14ac:dyDescent="0.45">
      <c r="A408" s="25">
        <v>43374</v>
      </c>
      <c r="B408">
        <v>3003</v>
      </c>
      <c r="C408" t="s">
        <v>43</v>
      </c>
      <c r="D408" s="19">
        <v>-714</v>
      </c>
    </row>
    <row r="409" spans="1:4" x14ac:dyDescent="0.45">
      <c r="A409" s="25">
        <v>43374</v>
      </c>
      <c r="B409">
        <v>3004</v>
      </c>
      <c r="C409" t="s">
        <v>44</v>
      </c>
      <c r="D409" s="19">
        <v>-542</v>
      </c>
    </row>
    <row r="410" spans="1:4" x14ac:dyDescent="0.45">
      <c r="A410" s="25">
        <v>43374</v>
      </c>
      <c r="B410">
        <v>3005</v>
      </c>
      <c r="C410" t="s">
        <v>45</v>
      </c>
      <c r="D410" s="19">
        <v>-83</v>
      </c>
    </row>
    <row r="411" spans="1:4" x14ac:dyDescent="0.45">
      <c r="A411" s="25">
        <v>43374</v>
      </c>
      <c r="B411">
        <v>3006</v>
      </c>
      <c r="C411" t="s">
        <v>46</v>
      </c>
      <c r="D411" s="19">
        <v>-555</v>
      </c>
    </row>
    <row r="412" spans="1:4" x14ac:dyDescent="0.45">
      <c r="A412" s="25">
        <v>43374</v>
      </c>
      <c r="B412">
        <v>3007</v>
      </c>
      <c r="C412" t="s">
        <v>47</v>
      </c>
      <c r="D412" s="19">
        <v>-529</v>
      </c>
    </row>
    <row r="413" spans="1:4" x14ac:dyDescent="0.45">
      <c r="A413" s="25">
        <v>43374</v>
      </c>
      <c r="B413">
        <v>3008</v>
      </c>
      <c r="C413" t="s">
        <v>48</v>
      </c>
      <c r="D413" s="19">
        <v>-505</v>
      </c>
    </row>
    <row r="414" spans="1:4" x14ac:dyDescent="0.45">
      <c r="A414" s="25">
        <v>43374</v>
      </c>
      <c r="B414">
        <v>3009</v>
      </c>
      <c r="C414" t="s">
        <v>49</v>
      </c>
      <c r="D414" s="19">
        <v>-972</v>
      </c>
    </row>
    <row r="415" spans="1:4" x14ac:dyDescent="0.45">
      <c r="A415" s="25">
        <v>43374</v>
      </c>
      <c r="B415">
        <v>4001</v>
      </c>
      <c r="C415" t="s">
        <v>52</v>
      </c>
      <c r="D415" s="19">
        <v>-4</v>
      </c>
    </row>
    <row r="416" spans="1:4" x14ac:dyDescent="0.45">
      <c r="A416" s="25">
        <v>43374</v>
      </c>
      <c r="B416">
        <v>4002</v>
      </c>
      <c r="C416" t="s">
        <v>53</v>
      </c>
      <c r="D416" s="19">
        <v>-702</v>
      </c>
    </row>
    <row r="417" spans="1:4" x14ac:dyDescent="0.45">
      <c r="A417" s="25">
        <v>43374</v>
      </c>
      <c r="B417">
        <v>4003</v>
      </c>
      <c r="C417" t="s">
        <v>54</v>
      </c>
      <c r="D417" s="19">
        <v>-931</v>
      </c>
    </row>
    <row r="418" spans="1:4" x14ac:dyDescent="0.45">
      <c r="A418" s="25">
        <v>43374</v>
      </c>
      <c r="B418">
        <v>5001</v>
      </c>
      <c r="C418" t="s">
        <v>57</v>
      </c>
      <c r="D418" s="19">
        <v>-7584</v>
      </c>
    </row>
    <row r="419" spans="1:4" x14ac:dyDescent="0.45">
      <c r="A419" s="25">
        <v>43374</v>
      </c>
      <c r="B419">
        <v>5002</v>
      </c>
      <c r="C419" t="s">
        <v>58</v>
      </c>
      <c r="D419" s="19">
        <v>-92138</v>
      </c>
    </row>
    <row r="420" spans="1:4" x14ac:dyDescent="0.45">
      <c r="A420" s="25">
        <v>43374</v>
      </c>
      <c r="B420">
        <v>5003</v>
      </c>
      <c r="C420" t="s">
        <v>59</v>
      </c>
      <c r="D420" s="19">
        <v>-34545</v>
      </c>
    </row>
    <row r="421" spans="1:4" x14ac:dyDescent="0.45">
      <c r="A421" s="25">
        <v>43374</v>
      </c>
      <c r="B421">
        <v>5004</v>
      </c>
      <c r="C421" t="s">
        <v>60</v>
      </c>
      <c r="D421" s="19">
        <v>-28649</v>
      </c>
    </row>
    <row r="422" spans="1:4" x14ac:dyDescent="0.45">
      <c r="A422" s="25">
        <v>43374</v>
      </c>
      <c r="B422">
        <v>5005</v>
      </c>
      <c r="C422" t="s">
        <v>61</v>
      </c>
      <c r="D422" s="19">
        <v>-89289</v>
      </c>
    </row>
    <row r="423" spans="1:4" x14ac:dyDescent="0.45">
      <c r="A423" s="25">
        <v>43374</v>
      </c>
      <c r="B423">
        <v>5006</v>
      </c>
      <c r="C423" t="s">
        <v>62</v>
      </c>
      <c r="D423" s="19">
        <v>-43746</v>
      </c>
    </row>
    <row r="424" spans="1:4" x14ac:dyDescent="0.45">
      <c r="A424" s="25">
        <v>43374</v>
      </c>
      <c r="B424">
        <v>5007</v>
      </c>
      <c r="C424" t="s">
        <v>63</v>
      </c>
      <c r="D424" s="19">
        <v>-79835</v>
      </c>
    </row>
    <row r="425" spans="1:4" x14ac:dyDescent="0.45">
      <c r="A425" s="25">
        <v>43374</v>
      </c>
      <c r="B425">
        <v>5008</v>
      </c>
      <c r="C425" t="s">
        <v>64</v>
      </c>
      <c r="D425" s="19">
        <v>-29612</v>
      </c>
    </row>
    <row r="426" spans="1:4" x14ac:dyDescent="0.45">
      <c r="A426" s="25">
        <v>43374</v>
      </c>
      <c r="B426">
        <v>5009</v>
      </c>
      <c r="C426" t="s">
        <v>65</v>
      </c>
      <c r="D426" s="19">
        <v>-25265</v>
      </c>
    </row>
    <row r="427" spans="1:4" x14ac:dyDescent="0.45">
      <c r="A427" s="25">
        <v>43374</v>
      </c>
      <c r="B427">
        <v>6002</v>
      </c>
      <c r="C427" t="s">
        <v>68</v>
      </c>
      <c r="D427" s="19">
        <v>-332</v>
      </c>
    </row>
    <row r="428" spans="1:4" x14ac:dyDescent="0.45">
      <c r="A428" s="25">
        <v>43374</v>
      </c>
      <c r="B428">
        <v>6003</v>
      </c>
      <c r="C428" t="s">
        <v>69</v>
      </c>
      <c r="D428" s="19">
        <v>-136</v>
      </c>
    </row>
    <row r="429" spans="1:4" x14ac:dyDescent="0.45">
      <c r="A429" s="25">
        <v>43374</v>
      </c>
      <c r="B429">
        <v>6004</v>
      </c>
      <c r="C429" t="s">
        <v>70</v>
      </c>
      <c r="D429" s="19">
        <v>-165</v>
      </c>
    </row>
    <row r="430" spans="1:4" x14ac:dyDescent="0.45">
      <c r="A430" s="25">
        <v>43374</v>
      </c>
      <c r="B430">
        <v>6005</v>
      </c>
      <c r="C430" t="s">
        <v>71</v>
      </c>
      <c r="D430" s="19">
        <v>-248</v>
      </c>
    </row>
    <row r="431" spans="1:4" x14ac:dyDescent="0.45">
      <c r="A431" s="25">
        <v>43374</v>
      </c>
      <c r="B431">
        <v>6006</v>
      </c>
      <c r="C431" t="s">
        <v>72</v>
      </c>
      <c r="D431" s="19">
        <v>-828</v>
      </c>
    </row>
    <row r="432" spans="1:4" x14ac:dyDescent="0.45">
      <c r="A432" s="25">
        <v>43405</v>
      </c>
      <c r="B432">
        <v>2001</v>
      </c>
      <c r="C432" t="s">
        <v>22</v>
      </c>
      <c r="D432" s="19">
        <v>-272</v>
      </c>
    </row>
    <row r="433" spans="1:4" x14ac:dyDescent="0.45">
      <c r="A433" s="25">
        <v>43405</v>
      </c>
      <c r="B433">
        <v>2002</v>
      </c>
      <c r="C433" t="s">
        <v>23</v>
      </c>
      <c r="D433" s="19">
        <v>-957</v>
      </c>
    </row>
    <row r="434" spans="1:4" x14ac:dyDescent="0.45">
      <c r="A434" s="25">
        <v>43405</v>
      </c>
      <c r="B434">
        <v>2003</v>
      </c>
      <c r="C434" t="s">
        <v>24</v>
      </c>
      <c r="D434" s="19">
        <v>-215</v>
      </c>
    </row>
    <row r="435" spans="1:4" x14ac:dyDescent="0.45">
      <c r="A435" s="25">
        <v>43405</v>
      </c>
      <c r="B435">
        <v>2004</v>
      </c>
      <c r="C435" t="s">
        <v>25</v>
      </c>
      <c r="D435" s="19">
        <v>-140</v>
      </c>
    </row>
    <row r="436" spans="1:4" x14ac:dyDescent="0.45">
      <c r="A436" s="25">
        <v>43405</v>
      </c>
      <c r="B436">
        <v>2005</v>
      </c>
      <c r="C436" t="s">
        <v>26</v>
      </c>
      <c r="D436" s="19">
        <v>-887</v>
      </c>
    </row>
    <row r="437" spans="1:4" x14ac:dyDescent="0.45">
      <c r="A437" s="25">
        <v>43405</v>
      </c>
      <c r="B437">
        <v>2006</v>
      </c>
      <c r="C437" t="s">
        <v>27</v>
      </c>
      <c r="D437" s="19">
        <v>-373</v>
      </c>
    </row>
    <row r="438" spans="1:4" x14ac:dyDescent="0.45">
      <c r="A438" s="25">
        <v>43405</v>
      </c>
      <c r="B438">
        <v>2007</v>
      </c>
      <c r="C438" t="s">
        <v>28</v>
      </c>
      <c r="D438" s="19">
        <v>-131</v>
      </c>
    </row>
    <row r="439" spans="1:4" x14ac:dyDescent="0.45">
      <c r="A439" s="25">
        <v>43405</v>
      </c>
      <c r="B439">
        <v>2008</v>
      </c>
      <c r="C439" t="s">
        <v>29</v>
      </c>
      <c r="D439" s="19">
        <v>-589</v>
      </c>
    </row>
    <row r="440" spans="1:4" x14ac:dyDescent="0.45">
      <c r="A440" s="25">
        <v>43405</v>
      </c>
      <c r="B440">
        <v>2009</v>
      </c>
      <c r="C440" t="s">
        <v>30</v>
      </c>
      <c r="D440" s="19">
        <v>-262</v>
      </c>
    </row>
    <row r="441" spans="1:4" x14ac:dyDescent="0.45">
      <c r="A441" s="25">
        <v>43405</v>
      </c>
      <c r="B441">
        <v>2010</v>
      </c>
      <c r="C441" t="s">
        <v>31</v>
      </c>
      <c r="D441" s="19">
        <v>-767</v>
      </c>
    </row>
    <row r="442" spans="1:4" x14ac:dyDescent="0.45">
      <c r="A442" s="25">
        <v>43405</v>
      </c>
      <c r="B442">
        <v>2011</v>
      </c>
      <c r="C442" t="s">
        <v>32</v>
      </c>
      <c r="D442" s="19">
        <v>-411</v>
      </c>
    </row>
    <row r="443" spans="1:4" x14ac:dyDescent="0.45">
      <c r="A443" s="25">
        <v>43405</v>
      </c>
      <c r="B443">
        <v>2012</v>
      </c>
      <c r="C443" t="s">
        <v>33</v>
      </c>
      <c r="D443" s="19">
        <v>-899</v>
      </c>
    </row>
    <row r="444" spans="1:4" x14ac:dyDescent="0.45">
      <c r="A444" s="25">
        <v>43405</v>
      </c>
      <c r="B444">
        <v>2013</v>
      </c>
      <c r="C444" t="s">
        <v>34</v>
      </c>
      <c r="D444" s="19">
        <v>-527</v>
      </c>
    </row>
    <row r="445" spans="1:4" x14ac:dyDescent="0.45">
      <c r="A445" s="25">
        <v>43405</v>
      </c>
      <c r="B445">
        <v>2014</v>
      </c>
      <c r="C445" t="s">
        <v>35</v>
      </c>
      <c r="D445" s="19">
        <v>-632</v>
      </c>
    </row>
    <row r="446" spans="1:4" x14ac:dyDescent="0.45">
      <c r="A446" s="25">
        <v>43405</v>
      </c>
      <c r="B446">
        <v>2015</v>
      </c>
      <c r="C446" t="s">
        <v>36</v>
      </c>
      <c r="D446" s="19">
        <v>-834</v>
      </c>
    </row>
    <row r="447" spans="1:4" x14ac:dyDescent="0.45">
      <c r="A447" s="25">
        <v>43405</v>
      </c>
      <c r="B447">
        <v>2016</v>
      </c>
      <c r="C447" t="s">
        <v>37</v>
      </c>
      <c r="D447" s="19">
        <v>-766</v>
      </c>
    </row>
    <row r="448" spans="1:4" x14ac:dyDescent="0.45">
      <c r="A448" s="25">
        <v>43405</v>
      </c>
      <c r="B448">
        <v>2017</v>
      </c>
      <c r="C448" t="s">
        <v>38</v>
      </c>
      <c r="D448" s="19">
        <v>-415</v>
      </c>
    </row>
    <row r="449" spans="1:4" x14ac:dyDescent="0.45">
      <c r="A449" s="25">
        <v>43405</v>
      </c>
      <c r="B449">
        <v>3001</v>
      </c>
      <c r="C449" t="s">
        <v>41</v>
      </c>
      <c r="D449" s="19">
        <v>-356</v>
      </c>
    </row>
    <row r="450" spans="1:4" x14ac:dyDescent="0.45">
      <c r="A450" s="25">
        <v>43405</v>
      </c>
      <c r="B450">
        <v>3002</v>
      </c>
      <c r="C450" t="s">
        <v>42</v>
      </c>
      <c r="D450" s="19">
        <v>-808</v>
      </c>
    </row>
    <row r="451" spans="1:4" x14ac:dyDescent="0.45">
      <c r="A451" s="25">
        <v>43405</v>
      </c>
      <c r="B451">
        <v>3003</v>
      </c>
      <c r="C451" t="s">
        <v>43</v>
      </c>
      <c r="D451" s="19">
        <v>-583</v>
      </c>
    </row>
    <row r="452" spans="1:4" x14ac:dyDescent="0.45">
      <c r="A452" s="25">
        <v>43405</v>
      </c>
      <c r="B452">
        <v>3004</v>
      </c>
      <c r="C452" t="s">
        <v>44</v>
      </c>
      <c r="D452" s="19">
        <v>-430</v>
      </c>
    </row>
    <row r="453" spans="1:4" x14ac:dyDescent="0.45">
      <c r="A453" s="25">
        <v>43405</v>
      </c>
      <c r="B453">
        <v>3005</v>
      </c>
      <c r="C453" t="s">
        <v>45</v>
      </c>
      <c r="D453" s="19">
        <v>-563</v>
      </c>
    </row>
    <row r="454" spans="1:4" x14ac:dyDescent="0.45">
      <c r="A454" s="25">
        <v>43405</v>
      </c>
      <c r="B454">
        <v>3006</v>
      </c>
      <c r="C454" t="s">
        <v>46</v>
      </c>
      <c r="D454" s="19">
        <v>-770</v>
      </c>
    </row>
    <row r="455" spans="1:4" x14ac:dyDescent="0.45">
      <c r="A455" s="25">
        <v>43405</v>
      </c>
      <c r="B455">
        <v>3007</v>
      </c>
      <c r="C455" t="s">
        <v>47</v>
      </c>
      <c r="D455" s="19">
        <v>-319</v>
      </c>
    </row>
    <row r="456" spans="1:4" x14ac:dyDescent="0.45">
      <c r="A456" s="25">
        <v>43405</v>
      </c>
      <c r="B456">
        <v>3008</v>
      </c>
      <c r="C456" t="s">
        <v>48</v>
      </c>
      <c r="D456" s="19">
        <v>-515</v>
      </c>
    </row>
    <row r="457" spans="1:4" x14ac:dyDescent="0.45">
      <c r="A457" s="25">
        <v>43405</v>
      </c>
      <c r="B457">
        <v>3009</v>
      </c>
      <c r="C457" t="s">
        <v>49</v>
      </c>
      <c r="D457" s="19">
        <v>-686</v>
      </c>
    </row>
    <row r="458" spans="1:4" x14ac:dyDescent="0.45">
      <c r="A458" s="25">
        <v>43405</v>
      </c>
      <c r="B458">
        <v>4001</v>
      </c>
      <c r="C458" t="s">
        <v>52</v>
      </c>
      <c r="D458" s="19">
        <v>-863</v>
      </c>
    </row>
    <row r="459" spans="1:4" x14ac:dyDescent="0.45">
      <c r="A459" s="25">
        <v>43405</v>
      </c>
      <c r="B459">
        <v>4002</v>
      </c>
      <c r="C459" t="s">
        <v>53</v>
      </c>
      <c r="D459" s="19">
        <v>-104</v>
      </c>
    </row>
    <row r="460" spans="1:4" x14ac:dyDescent="0.45">
      <c r="A460" s="25">
        <v>43405</v>
      </c>
      <c r="B460">
        <v>4003</v>
      </c>
      <c r="C460" t="s">
        <v>54</v>
      </c>
      <c r="D460" s="19">
        <v>-327</v>
      </c>
    </row>
    <row r="461" spans="1:4" x14ac:dyDescent="0.45">
      <c r="A461" s="25">
        <v>43405</v>
      </c>
      <c r="B461">
        <v>5001</v>
      </c>
      <c r="C461" t="s">
        <v>57</v>
      </c>
      <c r="D461" s="19">
        <v>-96825</v>
      </c>
    </row>
    <row r="462" spans="1:4" x14ac:dyDescent="0.45">
      <c r="A462" s="25">
        <v>43405</v>
      </c>
      <c r="B462">
        <v>5002</v>
      </c>
      <c r="C462" t="s">
        <v>58</v>
      </c>
      <c r="D462" s="19">
        <v>-21972</v>
      </c>
    </row>
    <row r="463" spans="1:4" x14ac:dyDescent="0.45">
      <c r="A463" s="25">
        <v>43405</v>
      </c>
      <c r="B463">
        <v>5003</v>
      </c>
      <c r="C463" t="s">
        <v>59</v>
      </c>
      <c r="D463" s="19">
        <v>-25882</v>
      </c>
    </row>
    <row r="464" spans="1:4" x14ac:dyDescent="0.45">
      <c r="A464" s="25">
        <v>43405</v>
      </c>
      <c r="B464">
        <v>5004</v>
      </c>
      <c r="C464" t="s">
        <v>60</v>
      </c>
      <c r="D464" s="19">
        <v>-12458</v>
      </c>
    </row>
    <row r="465" spans="1:4" x14ac:dyDescent="0.45">
      <c r="A465" s="25">
        <v>43405</v>
      </c>
      <c r="B465">
        <v>5005</v>
      </c>
      <c r="C465" t="s">
        <v>61</v>
      </c>
      <c r="D465" s="19">
        <v>-7644</v>
      </c>
    </row>
    <row r="466" spans="1:4" x14ac:dyDescent="0.45">
      <c r="A466" s="25">
        <v>43405</v>
      </c>
      <c r="B466">
        <v>5006</v>
      </c>
      <c r="C466" t="s">
        <v>62</v>
      </c>
      <c r="D466" s="19">
        <v>-63606</v>
      </c>
    </row>
    <row r="467" spans="1:4" x14ac:dyDescent="0.45">
      <c r="A467" s="25">
        <v>43405</v>
      </c>
      <c r="B467">
        <v>5007</v>
      </c>
      <c r="C467" t="s">
        <v>63</v>
      </c>
      <c r="D467" s="19">
        <v>-61783</v>
      </c>
    </row>
    <row r="468" spans="1:4" x14ac:dyDescent="0.45">
      <c r="A468" s="25">
        <v>43405</v>
      </c>
      <c r="B468">
        <v>5008</v>
      </c>
      <c r="C468" t="s">
        <v>64</v>
      </c>
      <c r="D468" s="19">
        <v>-36309</v>
      </c>
    </row>
    <row r="469" spans="1:4" x14ac:dyDescent="0.45">
      <c r="A469" s="25">
        <v>43405</v>
      </c>
      <c r="B469">
        <v>5009</v>
      </c>
      <c r="C469" t="s">
        <v>65</v>
      </c>
      <c r="D469" s="19">
        <v>-44480</v>
      </c>
    </row>
    <row r="470" spans="1:4" x14ac:dyDescent="0.45">
      <c r="A470" s="25">
        <v>43405</v>
      </c>
      <c r="B470">
        <v>6002</v>
      </c>
      <c r="C470" t="s">
        <v>68</v>
      </c>
      <c r="D470" s="19">
        <v>-313</v>
      </c>
    </row>
    <row r="471" spans="1:4" x14ac:dyDescent="0.45">
      <c r="A471" s="25">
        <v>43405</v>
      </c>
      <c r="B471">
        <v>6003</v>
      </c>
      <c r="C471" t="s">
        <v>69</v>
      </c>
      <c r="D471" s="19">
        <v>-704</v>
      </c>
    </row>
    <row r="472" spans="1:4" x14ac:dyDescent="0.45">
      <c r="A472" s="25">
        <v>43405</v>
      </c>
      <c r="B472">
        <v>6004</v>
      </c>
      <c r="C472" t="s">
        <v>70</v>
      </c>
      <c r="D472" s="19">
        <v>-465</v>
      </c>
    </row>
    <row r="473" spans="1:4" x14ac:dyDescent="0.45">
      <c r="A473" s="25">
        <v>43405</v>
      </c>
      <c r="B473">
        <v>6005</v>
      </c>
      <c r="C473" t="s">
        <v>71</v>
      </c>
      <c r="D473" s="19">
        <v>-963</v>
      </c>
    </row>
    <row r="474" spans="1:4" x14ac:dyDescent="0.45">
      <c r="A474" s="25">
        <v>43405</v>
      </c>
      <c r="B474">
        <v>6006</v>
      </c>
      <c r="C474" t="s">
        <v>72</v>
      </c>
      <c r="D474" s="19">
        <v>-565</v>
      </c>
    </row>
    <row r="475" spans="1:4" x14ac:dyDescent="0.45">
      <c r="A475" s="25">
        <v>43435</v>
      </c>
      <c r="B475">
        <v>2001</v>
      </c>
      <c r="C475" t="s">
        <v>22</v>
      </c>
      <c r="D475" s="19">
        <v>-352</v>
      </c>
    </row>
    <row r="476" spans="1:4" x14ac:dyDescent="0.45">
      <c r="A476" s="25">
        <v>43435</v>
      </c>
      <c r="B476">
        <v>2002</v>
      </c>
      <c r="C476" t="s">
        <v>23</v>
      </c>
      <c r="D476" s="19">
        <v>-454</v>
      </c>
    </row>
    <row r="477" spans="1:4" x14ac:dyDescent="0.45">
      <c r="A477" s="25">
        <v>43435</v>
      </c>
      <c r="B477">
        <v>2003</v>
      </c>
      <c r="C477" t="s">
        <v>24</v>
      </c>
      <c r="D477" s="19">
        <v>-263</v>
      </c>
    </row>
    <row r="478" spans="1:4" x14ac:dyDescent="0.45">
      <c r="A478" s="25">
        <v>43435</v>
      </c>
      <c r="B478">
        <v>2004</v>
      </c>
      <c r="C478" t="s">
        <v>25</v>
      </c>
      <c r="D478" s="19">
        <v>-190</v>
      </c>
    </row>
    <row r="479" spans="1:4" x14ac:dyDescent="0.45">
      <c r="A479" s="25">
        <v>43435</v>
      </c>
      <c r="B479">
        <v>2005</v>
      </c>
      <c r="C479" t="s">
        <v>26</v>
      </c>
      <c r="D479" s="19">
        <v>-274</v>
      </c>
    </row>
    <row r="480" spans="1:4" x14ac:dyDescent="0.45">
      <c r="A480" s="25">
        <v>43435</v>
      </c>
      <c r="B480">
        <v>2006</v>
      </c>
      <c r="C480" t="s">
        <v>27</v>
      </c>
      <c r="D480" s="19">
        <v>-444</v>
      </c>
    </row>
    <row r="481" spans="1:4" x14ac:dyDescent="0.45">
      <c r="A481" s="25">
        <v>43435</v>
      </c>
      <c r="B481">
        <v>2007</v>
      </c>
      <c r="C481" t="s">
        <v>28</v>
      </c>
      <c r="D481" s="19">
        <v>-268</v>
      </c>
    </row>
    <row r="482" spans="1:4" x14ac:dyDescent="0.45">
      <c r="A482" s="25">
        <v>43435</v>
      </c>
      <c r="B482">
        <v>2008</v>
      </c>
      <c r="C482" t="s">
        <v>29</v>
      </c>
      <c r="D482" s="19">
        <v>-407</v>
      </c>
    </row>
    <row r="483" spans="1:4" x14ac:dyDescent="0.45">
      <c r="A483" s="25">
        <v>43435</v>
      </c>
      <c r="B483">
        <v>2009</v>
      </c>
      <c r="C483" t="s">
        <v>30</v>
      </c>
      <c r="D483" s="19">
        <v>-732</v>
      </c>
    </row>
    <row r="484" spans="1:4" x14ac:dyDescent="0.45">
      <c r="A484" s="25">
        <v>43435</v>
      </c>
      <c r="B484">
        <v>2010</v>
      </c>
      <c r="C484" t="s">
        <v>31</v>
      </c>
      <c r="D484" s="19">
        <v>-429</v>
      </c>
    </row>
    <row r="485" spans="1:4" x14ac:dyDescent="0.45">
      <c r="A485" s="25">
        <v>43435</v>
      </c>
      <c r="B485">
        <v>2011</v>
      </c>
      <c r="C485" t="s">
        <v>32</v>
      </c>
      <c r="D485" s="19">
        <v>-867</v>
      </c>
    </row>
    <row r="486" spans="1:4" x14ac:dyDescent="0.45">
      <c r="A486" s="25">
        <v>43435</v>
      </c>
      <c r="B486">
        <v>2012</v>
      </c>
      <c r="C486" t="s">
        <v>33</v>
      </c>
      <c r="D486" s="19">
        <v>-217</v>
      </c>
    </row>
    <row r="487" spans="1:4" x14ac:dyDescent="0.45">
      <c r="A487" s="25">
        <v>43435</v>
      </c>
      <c r="B487">
        <v>2013</v>
      </c>
      <c r="C487" t="s">
        <v>34</v>
      </c>
      <c r="D487" s="19">
        <v>-601</v>
      </c>
    </row>
    <row r="488" spans="1:4" x14ac:dyDescent="0.45">
      <c r="A488" s="25">
        <v>43435</v>
      </c>
      <c r="B488">
        <v>2014</v>
      </c>
      <c r="C488" t="s">
        <v>35</v>
      </c>
      <c r="D488" s="19">
        <v>-848</v>
      </c>
    </row>
    <row r="489" spans="1:4" x14ac:dyDescent="0.45">
      <c r="A489" s="25">
        <v>43435</v>
      </c>
      <c r="B489">
        <v>2015</v>
      </c>
      <c r="C489" t="s">
        <v>36</v>
      </c>
      <c r="D489" s="19">
        <v>-31</v>
      </c>
    </row>
    <row r="490" spans="1:4" x14ac:dyDescent="0.45">
      <c r="A490" s="25">
        <v>43435</v>
      </c>
      <c r="B490">
        <v>2016</v>
      </c>
      <c r="C490" t="s">
        <v>37</v>
      </c>
      <c r="D490" s="19">
        <v>-464</v>
      </c>
    </row>
    <row r="491" spans="1:4" x14ac:dyDescent="0.45">
      <c r="A491" s="25">
        <v>43435</v>
      </c>
      <c r="B491">
        <v>2017</v>
      </c>
      <c r="C491" t="s">
        <v>38</v>
      </c>
      <c r="D491" s="19">
        <v>-789</v>
      </c>
    </row>
    <row r="492" spans="1:4" x14ac:dyDescent="0.45">
      <c r="A492" s="25">
        <v>43435</v>
      </c>
      <c r="B492">
        <v>3001</v>
      </c>
      <c r="C492" t="s">
        <v>41</v>
      </c>
      <c r="D492" s="19">
        <v>-631</v>
      </c>
    </row>
    <row r="493" spans="1:4" x14ac:dyDescent="0.45">
      <c r="A493" s="25">
        <v>43435</v>
      </c>
      <c r="B493">
        <v>3002</v>
      </c>
      <c r="C493" t="s">
        <v>42</v>
      </c>
      <c r="D493" s="19">
        <v>-22</v>
      </c>
    </row>
    <row r="494" spans="1:4" x14ac:dyDescent="0.45">
      <c r="A494" s="25">
        <v>43435</v>
      </c>
      <c r="B494">
        <v>3003</v>
      </c>
      <c r="C494" t="s">
        <v>43</v>
      </c>
      <c r="D494" s="19">
        <v>-618</v>
      </c>
    </row>
    <row r="495" spans="1:4" x14ac:dyDescent="0.45">
      <c r="A495" s="25">
        <v>43435</v>
      </c>
      <c r="B495">
        <v>3004</v>
      </c>
      <c r="C495" t="s">
        <v>44</v>
      </c>
      <c r="D495" s="19">
        <v>-508</v>
      </c>
    </row>
    <row r="496" spans="1:4" x14ac:dyDescent="0.45">
      <c r="A496" s="25">
        <v>43435</v>
      </c>
      <c r="B496">
        <v>3005</v>
      </c>
      <c r="C496" t="s">
        <v>45</v>
      </c>
      <c r="D496" s="19">
        <v>-330</v>
      </c>
    </row>
    <row r="497" spans="1:4" x14ac:dyDescent="0.45">
      <c r="A497" s="25">
        <v>43435</v>
      </c>
      <c r="B497">
        <v>3006</v>
      </c>
      <c r="C497" t="s">
        <v>46</v>
      </c>
      <c r="D497" s="19">
        <v>-543</v>
      </c>
    </row>
    <row r="498" spans="1:4" x14ac:dyDescent="0.45">
      <c r="A498" s="25">
        <v>43435</v>
      </c>
      <c r="B498">
        <v>3007</v>
      </c>
      <c r="C498" t="s">
        <v>47</v>
      </c>
      <c r="D498" s="19">
        <v>-22</v>
      </c>
    </row>
    <row r="499" spans="1:4" x14ac:dyDescent="0.45">
      <c r="A499" s="25">
        <v>43435</v>
      </c>
      <c r="B499">
        <v>3008</v>
      </c>
      <c r="C499" t="s">
        <v>48</v>
      </c>
      <c r="D499" s="19">
        <v>-434</v>
      </c>
    </row>
    <row r="500" spans="1:4" x14ac:dyDescent="0.45">
      <c r="A500" s="25">
        <v>43435</v>
      </c>
      <c r="B500">
        <v>3009</v>
      </c>
      <c r="C500" t="s">
        <v>49</v>
      </c>
      <c r="D500" s="19">
        <v>-959</v>
      </c>
    </row>
    <row r="501" spans="1:4" x14ac:dyDescent="0.45">
      <c r="A501" s="25">
        <v>43435</v>
      </c>
      <c r="B501">
        <v>4001</v>
      </c>
      <c r="C501" t="s">
        <v>52</v>
      </c>
      <c r="D501" s="19">
        <v>-553</v>
      </c>
    </row>
    <row r="502" spans="1:4" x14ac:dyDescent="0.45">
      <c r="A502" s="25">
        <v>43435</v>
      </c>
      <c r="B502">
        <v>4002</v>
      </c>
      <c r="C502" t="s">
        <v>53</v>
      </c>
      <c r="D502" s="19">
        <v>-21</v>
      </c>
    </row>
    <row r="503" spans="1:4" x14ac:dyDescent="0.45">
      <c r="A503" s="25">
        <v>43435</v>
      </c>
      <c r="B503">
        <v>4003</v>
      </c>
      <c r="C503" t="s">
        <v>54</v>
      </c>
      <c r="D503" s="19">
        <v>-356</v>
      </c>
    </row>
    <row r="504" spans="1:4" x14ac:dyDescent="0.45">
      <c r="A504" s="25">
        <v>43435</v>
      </c>
      <c r="B504">
        <v>5001</v>
      </c>
      <c r="C504" t="s">
        <v>57</v>
      </c>
      <c r="D504" s="19">
        <v>-85994</v>
      </c>
    </row>
    <row r="505" spans="1:4" x14ac:dyDescent="0.45">
      <c r="A505" s="25">
        <v>43435</v>
      </c>
      <c r="B505">
        <v>5002</v>
      </c>
      <c r="C505" t="s">
        <v>58</v>
      </c>
      <c r="D505" s="19">
        <v>-99375</v>
      </c>
    </row>
    <row r="506" spans="1:4" x14ac:dyDescent="0.45">
      <c r="A506" s="25">
        <v>43435</v>
      </c>
      <c r="B506">
        <v>5003</v>
      </c>
      <c r="C506" t="s">
        <v>59</v>
      </c>
      <c r="D506" s="19">
        <v>-21123</v>
      </c>
    </row>
    <row r="507" spans="1:4" x14ac:dyDescent="0.45">
      <c r="A507" s="25">
        <v>43435</v>
      </c>
      <c r="B507">
        <v>5004</v>
      </c>
      <c r="C507" t="s">
        <v>60</v>
      </c>
      <c r="D507" s="19">
        <v>-7726</v>
      </c>
    </row>
    <row r="508" spans="1:4" x14ac:dyDescent="0.45">
      <c r="A508" s="25">
        <v>43435</v>
      </c>
      <c r="B508">
        <v>5005</v>
      </c>
      <c r="C508" t="s">
        <v>61</v>
      </c>
      <c r="D508" s="19">
        <v>-5664</v>
      </c>
    </row>
    <row r="509" spans="1:4" x14ac:dyDescent="0.45">
      <c r="A509" s="25">
        <v>43435</v>
      </c>
      <c r="B509">
        <v>5006</v>
      </c>
      <c r="C509" t="s">
        <v>62</v>
      </c>
      <c r="D509" s="19">
        <v>-23603</v>
      </c>
    </row>
    <row r="510" spans="1:4" x14ac:dyDescent="0.45">
      <c r="A510" s="25">
        <v>43435</v>
      </c>
      <c r="B510">
        <v>5007</v>
      </c>
      <c r="C510" t="s">
        <v>63</v>
      </c>
      <c r="D510" s="19">
        <v>-86621</v>
      </c>
    </row>
    <row r="511" spans="1:4" x14ac:dyDescent="0.45">
      <c r="A511" s="25">
        <v>43435</v>
      </c>
      <c r="B511">
        <v>5008</v>
      </c>
      <c r="C511" t="s">
        <v>64</v>
      </c>
      <c r="D511" s="19">
        <v>-78350</v>
      </c>
    </row>
    <row r="512" spans="1:4" x14ac:dyDescent="0.45">
      <c r="A512" s="25">
        <v>43435</v>
      </c>
      <c r="B512">
        <v>5009</v>
      </c>
      <c r="C512" t="s">
        <v>65</v>
      </c>
      <c r="D512" s="19">
        <v>-72023</v>
      </c>
    </row>
    <row r="513" spans="1:4" x14ac:dyDescent="0.45">
      <c r="A513" s="25">
        <v>43435</v>
      </c>
      <c r="B513">
        <v>6002</v>
      </c>
      <c r="C513" t="s">
        <v>68</v>
      </c>
      <c r="D513" s="19">
        <v>-677</v>
      </c>
    </row>
    <row r="514" spans="1:4" x14ac:dyDescent="0.45">
      <c r="A514" s="25">
        <v>43435</v>
      </c>
      <c r="B514">
        <v>6003</v>
      </c>
      <c r="C514" t="s">
        <v>69</v>
      </c>
      <c r="D514" s="19">
        <v>-565</v>
      </c>
    </row>
    <row r="515" spans="1:4" x14ac:dyDescent="0.45">
      <c r="A515" s="25">
        <v>43435</v>
      </c>
      <c r="B515">
        <v>6004</v>
      </c>
      <c r="C515" t="s">
        <v>70</v>
      </c>
      <c r="D515" s="19">
        <v>-439</v>
      </c>
    </row>
    <row r="516" spans="1:4" x14ac:dyDescent="0.45">
      <c r="A516" s="25">
        <v>43435</v>
      </c>
      <c r="B516">
        <v>6005</v>
      </c>
      <c r="C516" t="s">
        <v>71</v>
      </c>
      <c r="D516" s="19">
        <v>-878</v>
      </c>
    </row>
    <row r="517" spans="1:4" x14ac:dyDescent="0.45">
      <c r="A517" s="25">
        <v>43435</v>
      </c>
      <c r="B517">
        <v>6006</v>
      </c>
      <c r="C517" t="s">
        <v>72</v>
      </c>
      <c r="D517" s="19">
        <v>-752</v>
      </c>
    </row>
    <row r="518" spans="1:4" x14ac:dyDescent="0.45">
      <c r="A518" s="25">
        <v>43101</v>
      </c>
      <c r="B518">
        <v>1001</v>
      </c>
      <c r="C518" t="s">
        <v>97</v>
      </c>
      <c r="D518" s="19">
        <v>14880.525</v>
      </c>
    </row>
    <row r="519" spans="1:4" x14ac:dyDescent="0.45">
      <c r="A519" s="25">
        <v>43101</v>
      </c>
      <c r="B519">
        <v>1001</v>
      </c>
      <c r="C519" t="s">
        <v>97</v>
      </c>
      <c r="D519" s="19">
        <v>37544.925000000003</v>
      </c>
    </row>
    <row r="520" spans="1:4" x14ac:dyDescent="0.45">
      <c r="A520" s="25">
        <v>43101</v>
      </c>
      <c r="B520">
        <v>1001</v>
      </c>
      <c r="C520" t="s">
        <v>97</v>
      </c>
      <c r="D520" s="19">
        <v>41434.525000000001</v>
      </c>
    </row>
    <row r="521" spans="1:4" x14ac:dyDescent="0.45">
      <c r="A521" s="25">
        <v>43101</v>
      </c>
      <c r="B521">
        <v>1002</v>
      </c>
      <c r="C521" t="s">
        <v>104</v>
      </c>
      <c r="D521" s="19">
        <v>32271.525000000001</v>
      </c>
    </row>
    <row r="522" spans="1:4" x14ac:dyDescent="0.45">
      <c r="A522" s="25">
        <v>43101</v>
      </c>
      <c r="B522">
        <v>1002</v>
      </c>
      <c r="C522" t="s">
        <v>104</v>
      </c>
      <c r="D522" s="19">
        <v>2767.6</v>
      </c>
    </row>
    <row r="523" spans="1:4" x14ac:dyDescent="0.45">
      <c r="A523" s="25">
        <v>43101</v>
      </c>
      <c r="B523">
        <v>1001</v>
      </c>
      <c r="C523" t="s">
        <v>97</v>
      </c>
      <c r="D523" s="19">
        <v>8447.7250000000004</v>
      </c>
    </row>
    <row r="524" spans="1:4" x14ac:dyDescent="0.45">
      <c r="A524" s="25">
        <v>43101</v>
      </c>
      <c r="B524">
        <v>1001</v>
      </c>
      <c r="C524" t="s">
        <v>97</v>
      </c>
      <c r="D524" s="19">
        <v>42977.275000000001</v>
      </c>
    </row>
    <row r="525" spans="1:4" x14ac:dyDescent="0.45">
      <c r="A525" s="25">
        <v>43101</v>
      </c>
      <c r="B525">
        <v>1001</v>
      </c>
      <c r="C525" t="s">
        <v>97</v>
      </c>
      <c r="D525" s="19">
        <v>1762.4749999999999</v>
      </c>
    </row>
    <row r="526" spans="1:4" x14ac:dyDescent="0.45">
      <c r="A526" s="25">
        <v>43101</v>
      </c>
      <c r="B526">
        <v>1001</v>
      </c>
      <c r="C526" t="s">
        <v>97</v>
      </c>
      <c r="D526" s="19">
        <v>2314.125</v>
      </c>
    </row>
    <row r="527" spans="1:4" x14ac:dyDescent="0.45">
      <c r="A527" s="25">
        <v>43101</v>
      </c>
      <c r="B527">
        <v>1002</v>
      </c>
      <c r="C527" t="s">
        <v>104</v>
      </c>
      <c r="D527" s="19">
        <v>5904.5249999999996</v>
      </c>
    </row>
    <row r="528" spans="1:4" x14ac:dyDescent="0.45">
      <c r="A528" s="25">
        <v>43101</v>
      </c>
      <c r="B528">
        <v>1001</v>
      </c>
      <c r="C528" t="s">
        <v>145</v>
      </c>
      <c r="D528" s="19">
        <v>23192.674999999999</v>
      </c>
    </row>
    <row r="529" spans="1:4" x14ac:dyDescent="0.45">
      <c r="A529" s="25">
        <v>43101</v>
      </c>
      <c r="B529">
        <v>1001</v>
      </c>
      <c r="C529" t="s">
        <v>97</v>
      </c>
      <c r="D529" s="19">
        <v>22584.924999999999</v>
      </c>
    </row>
    <row r="530" spans="1:4" x14ac:dyDescent="0.45">
      <c r="A530" s="25">
        <v>43101</v>
      </c>
      <c r="B530">
        <v>1001</v>
      </c>
      <c r="C530" t="s">
        <v>97</v>
      </c>
      <c r="D530" s="19">
        <v>31991.025000000001</v>
      </c>
    </row>
    <row r="531" spans="1:4" x14ac:dyDescent="0.45">
      <c r="A531" s="25">
        <v>43101</v>
      </c>
      <c r="B531">
        <v>1001</v>
      </c>
      <c r="C531" t="s">
        <v>97</v>
      </c>
      <c r="D531" s="19">
        <v>23917.3</v>
      </c>
    </row>
    <row r="532" spans="1:4" x14ac:dyDescent="0.45">
      <c r="A532" s="25">
        <v>43101</v>
      </c>
      <c r="B532">
        <v>1002</v>
      </c>
      <c r="C532" t="s">
        <v>104</v>
      </c>
      <c r="D532" s="19">
        <v>12585.1</v>
      </c>
    </row>
    <row r="533" spans="1:4" x14ac:dyDescent="0.45">
      <c r="A533" s="25">
        <v>43101</v>
      </c>
      <c r="B533">
        <v>1002</v>
      </c>
      <c r="C533" t="s">
        <v>104</v>
      </c>
      <c r="D533" s="19">
        <v>20383</v>
      </c>
    </row>
    <row r="534" spans="1:4" x14ac:dyDescent="0.45">
      <c r="A534" s="25">
        <v>43101</v>
      </c>
      <c r="B534">
        <v>1002</v>
      </c>
      <c r="C534" t="s">
        <v>104</v>
      </c>
      <c r="D534" s="19">
        <v>39896.449999999997</v>
      </c>
    </row>
    <row r="535" spans="1:4" x14ac:dyDescent="0.45">
      <c r="A535" s="25">
        <v>43101</v>
      </c>
      <c r="B535">
        <v>1002</v>
      </c>
      <c r="C535" t="s">
        <v>104</v>
      </c>
      <c r="D535" s="19">
        <v>28101.424999999999</v>
      </c>
    </row>
    <row r="536" spans="1:4" x14ac:dyDescent="0.45">
      <c r="A536" s="25">
        <v>43101</v>
      </c>
      <c r="B536">
        <v>1001</v>
      </c>
      <c r="C536" t="s">
        <v>145</v>
      </c>
      <c r="D536" s="19">
        <v>31336.525000000001</v>
      </c>
    </row>
    <row r="537" spans="1:4" x14ac:dyDescent="0.45">
      <c r="A537" s="25">
        <v>43101</v>
      </c>
      <c r="B537">
        <v>1001</v>
      </c>
      <c r="C537" t="s">
        <v>145</v>
      </c>
      <c r="D537" s="19">
        <v>29214.075000000001</v>
      </c>
    </row>
    <row r="538" spans="1:4" x14ac:dyDescent="0.45">
      <c r="A538" s="25">
        <v>43101</v>
      </c>
      <c r="B538">
        <v>1001</v>
      </c>
      <c r="C538" t="s">
        <v>145</v>
      </c>
      <c r="D538" s="19">
        <v>42995.974999999999</v>
      </c>
    </row>
    <row r="539" spans="1:4" x14ac:dyDescent="0.45">
      <c r="A539" s="25">
        <v>43101</v>
      </c>
      <c r="B539">
        <v>1001</v>
      </c>
      <c r="C539" t="s">
        <v>145</v>
      </c>
      <c r="D539" s="19">
        <v>32930.699999999997</v>
      </c>
    </row>
    <row r="540" spans="1:4" x14ac:dyDescent="0.45">
      <c r="A540" s="25">
        <v>43101</v>
      </c>
      <c r="B540">
        <v>1001</v>
      </c>
      <c r="C540" t="s">
        <v>97</v>
      </c>
      <c r="D540" s="19">
        <v>33197.175000000003</v>
      </c>
    </row>
    <row r="541" spans="1:4" x14ac:dyDescent="0.45">
      <c r="A541" s="25">
        <v>43101</v>
      </c>
      <c r="B541">
        <v>1001</v>
      </c>
      <c r="C541" t="s">
        <v>97</v>
      </c>
      <c r="D541" s="19">
        <v>40607.050000000003</v>
      </c>
    </row>
    <row r="542" spans="1:4" x14ac:dyDescent="0.45">
      <c r="A542" s="25">
        <v>43101</v>
      </c>
      <c r="B542">
        <v>1001</v>
      </c>
      <c r="C542" t="s">
        <v>97</v>
      </c>
      <c r="D542" s="19">
        <v>11491.15</v>
      </c>
    </row>
    <row r="543" spans="1:4" x14ac:dyDescent="0.45">
      <c r="A543" s="25">
        <v>43101</v>
      </c>
      <c r="B543">
        <v>1002</v>
      </c>
      <c r="C543" t="s">
        <v>104</v>
      </c>
      <c r="D543" s="19">
        <v>26203.375</v>
      </c>
    </row>
    <row r="544" spans="1:4" x14ac:dyDescent="0.45">
      <c r="A544" s="25">
        <v>43101</v>
      </c>
      <c r="B544">
        <v>1002</v>
      </c>
      <c r="C544" t="s">
        <v>104</v>
      </c>
      <c r="D544" s="19">
        <v>10233.575000000001</v>
      </c>
    </row>
    <row r="545" spans="1:4" x14ac:dyDescent="0.45">
      <c r="A545" s="25">
        <v>43101</v>
      </c>
      <c r="B545">
        <v>1001</v>
      </c>
      <c r="C545" t="s">
        <v>97</v>
      </c>
      <c r="D545" s="19">
        <v>2949.9250000000002</v>
      </c>
    </row>
    <row r="546" spans="1:4" x14ac:dyDescent="0.45">
      <c r="A546" s="25">
        <v>43101</v>
      </c>
      <c r="B546">
        <v>1001</v>
      </c>
      <c r="C546" t="s">
        <v>145</v>
      </c>
      <c r="D546" s="19">
        <v>41485.949999999997</v>
      </c>
    </row>
    <row r="547" spans="1:4" x14ac:dyDescent="0.45">
      <c r="A547" s="25">
        <v>43101</v>
      </c>
      <c r="B547">
        <v>1001</v>
      </c>
      <c r="C547" t="s">
        <v>145</v>
      </c>
      <c r="D547" s="19">
        <v>22795.3</v>
      </c>
    </row>
    <row r="548" spans="1:4" x14ac:dyDescent="0.45">
      <c r="A548" s="25">
        <v>43101</v>
      </c>
      <c r="B548">
        <v>1001</v>
      </c>
      <c r="C548" t="s">
        <v>145</v>
      </c>
      <c r="D548" s="19">
        <v>21649.924999999999</v>
      </c>
    </row>
    <row r="549" spans="1:4" x14ac:dyDescent="0.45">
      <c r="A549" s="25">
        <v>43101</v>
      </c>
      <c r="B549">
        <v>1001</v>
      </c>
      <c r="C549" t="s">
        <v>97</v>
      </c>
      <c r="D549" s="19">
        <v>25319.8</v>
      </c>
    </row>
    <row r="550" spans="1:4" x14ac:dyDescent="0.45">
      <c r="A550" s="25">
        <v>43101</v>
      </c>
      <c r="B550">
        <v>1001</v>
      </c>
      <c r="C550" t="s">
        <v>97</v>
      </c>
      <c r="D550" s="19">
        <v>38783.800000000003</v>
      </c>
    </row>
    <row r="551" spans="1:4" x14ac:dyDescent="0.45">
      <c r="A551" s="25">
        <v>43101</v>
      </c>
      <c r="B551">
        <v>1001</v>
      </c>
      <c r="C551" t="s">
        <v>145</v>
      </c>
      <c r="D551" s="19">
        <v>20079.125</v>
      </c>
    </row>
    <row r="552" spans="1:4" x14ac:dyDescent="0.45">
      <c r="A552" s="25">
        <v>43101</v>
      </c>
      <c r="B552">
        <v>1002</v>
      </c>
      <c r="C552" t="s">
        <v>104</v>
      </c>
      <c r="D552" s="19">
        <v>4483.3249999999998</v>
      </c>
    </row>
    <row r="553" spans="1:4" x14ac:dyDescent="0.45">
      <c r="A553" s="25">
        <v>43101</v>
      </c>
      <c r="B553">
        <v>1002</v>
      </c>
      <c r="C553" t="s">
        <v>104</v>
      </c>
      <c r="D553" s="19">
        <v>25628.35</v>
      </c>
    </row>
    <row r="554" spans="1:4" x14ac:dyDescent="0.45">
      <c r="A554" s="25">
        <v>43132</v>
      </c>
      <c r="B554">
        <v>1001</v>
      </c>
      <c r="C554" t="s">
        <v>145</v>
      </c>
      <c r="D554" s="19">
        <v>43846.824999999997</v>
      </c>
    </row>
    <row r="555" spans="1:4" x14ac:dyDescent="0.45">
      <c r="A555" s="25">
        <v>43132</v>
      </c>
      <c r="B555">
        <v>1001</v>
      </c>
      <c r="C555" t="s">
        <v>97</v>
      </c>
      <c r="D555" s="19">
        <v>1028.5</v>
      </c>
    </row>
    <row r="556" spans="1:4" x14ac:dyDescent="0.45">
      <c r="A556" s="25">
        <v>43132</v>
      </c>
      <c r="B556">
        <v>1001</v>
      </c>
      <c r="C556" t="s">
        <v>97</v>
      </c>
      <c r="D556" s="19">
        <v>23795.75</v>
      </c>
    </row>
    <row r="557" spans="1:4" x14ac:dyDescent="0.45">
      <c r="A557" s="25">
        <v>43132</v>
      </c>
      <c r="B557">
        <v>1002</v>
      </c>
      <c r="C557" t="s">
        <v>104</v>
      </c>
      <c r="D557" s="19">
        <v>40130.199999999997</v>
      </c>
    </row>
    <row r="558" spans="1:4" x14ac:dyDescent="0.45">
      <c r="A558" s="25">
        <v>43132</v>
      </c>
      <c r="B558">
        <v>1001</v>
      </c>
      <c r="C558" t="s">
        <v>97</v>
      </c>
      <c r="D558" s="19">
        <v>8424.35</v>
      </c>
    </row>
    <row r="559" spans="1:4" x14ac:dyDescent="0.45">
      <c r="A559" s="25">
        <v>43132</v>
      </c>
      <c r="B559">
        <v>1001</v>
      </c>
      <c r="C559" t="s">
        <v>97</v>
      </c>
      <c r="D559" s="19">
        <v>31355.224999999999</v>
      </c>
    </row>
    <row r="560" spans="1:4" x14ac:dyDescent="0.45">
      <c r="A560" s="25">
        <v>43132</v>
      </c>
      <c r="B560">
        <v>1001</v>
      </c>
      <c r="C560" t="s">
        <v>97</v>
      </c>
      <c r="D560" s="19">
        <v>31401.974999999999</v>
      </c>
    </row>
    <row r="561" spans="1:4" x14ac:dyDescent="0.45">
      <c r="A561" s="25">
        <v>43132</v>
      </c>
      <c r="B561">
        <v>1002</v>
      </c>
      <c r="C561" t="s">
        <v>104</v>
      </c>
      <c r="D561" s="19">
        <v>36787.574999999997</v>
      </c>
    </row>
    <row r="562" spans="1:4" x14ac:dyDescent="0.45">
      <c r="A562" s="25">
        <v>43132</v>
      </c>
      <c r="B562">
        <v>1001</v>
      </c>
      <c r="C562" t="s">
        <v>145</v>
      </c>
      <c r="D562" s="19">
        <v>43846.824999999997</v>
      </c>
    </row>
    <row r="563" spans="1:4" x14ac:dyDescent="0.45">
      <c r="A563" s="25">
        <v>43132</v>
      </c>
      <c r="B563">
        <v>1001</v>
      </c>
      <c r="C563" t="s">
        <v>97</v>
      </c>
      <c r="D563" s="19">
        <v>17937.974999999999</v>
      </c>
    </row>
    <row r="564" spans="1:4" x14ac:dyDescent="0.45">
      <c r="A564" s="25">
        <v>43132</v>
      </c>
      <c r="B564">
        <v>1001</v>
      </c>
      <c r="C564" t="s">
        <v>97</v>
      </c>
      <c r="D564" s="19">
        <v>24581.15</v>
      </c>
    </row>
    <row r="565" spans="1:4" x14ac:dyDescent="0.45">
      <c r="A565" s="25">
        <v>43132</v>
      </c>
      <c r="B565">
        <v>1001</v>
      </c>
      <c r="C565" t="s">
        <v>97</v>
      </c>
      <c r="D565" s="19">
        <v>8139.1750000000002</v>
      </c>
    </row>
    <row r="566" spans="1:4" x14ac:dyDescent="0.45">
      <c r="A566" s="25">
        <v>43132</v>
      </c>
      <c r="B566">
        <v>1001</v>
      </c>
      <c r="C566" t="s">
        <v>145</v>
      </c>
      <c r="D566" s="19">
        <v>13823.975</v>
      </c>
    </row>
    <row r="567" spans="1:4" x14ac:dyDescent="0.45">
      <c r="A567" s="25">
        <v>43132</v>
      </c>
      <c r="B567">
        <v>1001</v>
      </c>
      <c r="C567" t="s">
        <v>97</v>
      </c>
      <c r="D567" s="19">
        <v>5091.0749999999998</v>
      </c>
    </row>
    <row r="568" spans="1:4" x14ac:dyDescent="0.45">
      <c r="A568" s="25">
        <v>43132</v>
      </c>
      <c r="B568">
        <v>1001</v>
      </c>
      <c r="C568" t="s">
        <v>97</v>
      </c>
      <c r="D568" s="19">
        <v>8083.0749999999998</v>
      </c>
    </row>
    <row r="569" spans="1:4" x14ac:dyDescent="0.45">
      <c r="A569" s="25">
        <v>43132</v>
      </c>
      <c r="B569">
        <v>1001</v>
      </c>
      <c r="C569" t="s">
        <v>97</v>
      </c>
      <c r="D569" s="19">
        <v>11463.1</v>
      </c>
    </row>
    <row r="570" spans="1:4" x14ac:dyDescent="0.45">
      <c r="A570" s="25">
        <v>43132</v>
      </c>
      <c r="B570">
        <v>1001</v>
      </c>
      <c r="C570" t="s">
        <v>97</v>
      </c>
      <c r="D570" s="19">
        <v>7106</v>
      </c>
    </row>
    <row r="571" spans="1:4" x14ac:dyDescent="0.45">
      <c r="A571" s="25">
        <v>43132</v>
      </c>
      <c r="B571">
        <v>1001</v>
      </c>
      <c r="C571" t="s">
        <v>97</v>
      </c>
      <c r="D571" s="19">
        <v>11776.325000000001</v>
      </c>
    </row>
    <row r="572" spans="1:4" x14ac:dyDescent="0.45">
      <c r="A572" s="25">
        <v>43132</v>
      </c>
      <c r="B572">
        <v>1001</v>
      </c>
      <c r="C572" t="s">
        <v>145</v>
      </c>
      <c r="D572" s="19">
        <v>43846.824999999997</v>
      </c>
    </row>
    <row r="573" spans="1:4" x14ac:dyDescent="0.45">
      <c r="A573" s="25">
        <v>43132</v>
      </c>
      <c r="B573">
        <v>1002</v>
      </c>
      <c r="C573" t="s">
        <v>104</v>
      </c>
      <c r="D573" s="19">
        <v>15974.475</v>
      </c>
    </row>
    <row r="574" spans="1:4" x14ac:dyDescent="0.45">
      <c r="A574" s="25">
        <v>43132</v>
      </c>
      <c r="B574">
        <v>1001</v>
      </c>
      <c r="C574" t="s">
        <v>97</v>
      </c>
      <c r="D574" s="19">
        <v>27820.924999999999</v>
      </c>
    </row>
    <row r="575" spans="1:4" x14ac:dyDescent="0.45">
      <c r="A575" s="25">
        <v>43132</v>
      </c>
      <c r="B575">
        <v>1001</v>
      </c>
      <c r="C575" t="s">
        <v>145</v>
      </c>
      <c r="D575" s="19">
        <v>4866.6750000000002</v>
      </c>
    </row>
    <row r="576" spans="1:4" x14ac:dyDescent="0.45">
      <c r="A576" s="25">
        <v>43132</v>
      </c>
      <c r="B576">
        <v>1001</v>
      </c>
      <c r="C576" t="s">
        <v>97</v>
      </c>
      <c r="D576" s="19">
        <v>25460.05</v>
      </c>
    </row>
    <row r="577" spans="1:4" x14ac:dyDescent="0.45">
      <c r="A577" s="25">
        <v>43132</v>
      </c>
      <c r="B577">
        <v>1002</v>
      </c>
      <c r="C577" t="s">
        <v>104</v>
      </c>
      <c r="D577" s="19">
        <v>36193.85</v>
      </c>
    </row>
    <row r="578" spans="1:4" x14ac:dyDescent="0.45">
      <c r="A578" s="25">
        <v>43160</v>
      </c>
      <c r="B578">
        <v>1002</v>
      </c>
      <c r="C578" t="s">
        <v>104</v>
      </c>
      <c r="D578" s="19">
        <v>32159.325000000001</v>
      </c>
    </row>
    <row r="579" spans="1:4" x14ac:dyDescent="0.45">
      <c r="A579" s="25">
        <v>43160</v>
      </c>
      <c r="B579">
        <v>1001</v>
      </c>
      <c r="C579" t="s">
        <v>145</v>
      </c>
      <c r="D579" s="19">
        <v>32570.724999999999</v>
      </c>
    </row>
    <row r="580" spans="1:4" x14ac:dyDescent="0.45">
      <c r="A580" s="25">
        <v>43160</v>
      </c>
      <c r="B580">
        <v>1002</v>
      </c>
      <c r="C580" t="s">
        <v>104</v>
      </c>
      <c r="D580" s="19">
        <v>1332.375</v>
      </c>
    </row>
    <row r="581" spans="1:4" x14ac:dyDescent="0.45">
      <c r="A581" s="25">
        <v>43160</v>
      </c>
      <c r="B581">
        <v>1001</v>
      </c>
      <c r="C581" t="s">
        <v>145</v>
      </c>
      <c r="D581" s="19">
        <v>2370.2249999999999</v>
      </c>
    </row>
    <row r="582" spans="1:4" x14ac:dyDescent="0.45">
      <c r="A582" s="25">
        <v>43160</v>
      </c>
      <c r="B582">
        <v>1001</v>
      </c>
      <c r="C582" t="s">
        <v>97</v>
      </c>
      <c r="D582" s="19">
        <v>30303.35</v>
      </c>
    </row>
    <row r="583" spans="1:4" x14ac:dyDescent="0.45">
      <c r="A583" s="25">
        <v>43160</v>
      </c>
      <c r="B583">
        <v>1001</v>
      </c>
      <c r="C583" t="s">
        <v>97</v>
      </c>
      <c r="D583" s="19">
        <v>45707.474999999999</v>
      </c>
    </row>
    <row r="584" spans="1:4" x14ac:dyDescent="0.45">
      <c r="A584" s="25">
        <v>43160</v>
      </c>
      <c r="B584">
        <v>1002</v>
      </c>
      <c r="C584" t="s">
        <v>104</v>
      </c>
      <c r="D584" s="19">
        <v>32439.825000000001</v>
      </c>
    </row>
    <row r="585" spans="1:4" x14ac:dyDescent="0.45">
      <c r="A585" s="25">
        <v>43160</v>
      </c>
      <c r="B585">
        <v>1001</v>
      </c>
      <c r="C585" t="s">
        <v>145</v>
      </c>
      <c r="D585" s="19">
        <v>45936.55</v>
      </c>
    </row>
    <row r="586" spans="1:4" x14ac:dyDescent="0.45">
      <c r="A586" s="25">
        <v>43160</v>
      </c>
      <c r="B586">
        <v>1001</v>
      </c>
      <c r="C586" t="s">
        <v>145</v>
      </c>
      <c r="D586" s="19">
        <v>39536.474999999999</v>
      </c>
    </row>
    <row r="587" spans="1:4" x14ac:dyDescent="0.45">
      <c r="A587" s="25">
        <v>43160</v>
      </c>
      <c r="B587">
        <v>1002</v>
      </c>
      <c r="C587" t="s">
        <v>104</v>
      </c>
      <c r="D587" s="19">
        <v>18704.674999999999</v>
      </c>
    </row>
    <row r="588" spans="1:4" x14ac:dyDescent="0.45">
      <c r="A588" s="25">
        <v>43160</v>
      </c>
      <c r="B588">
        <v>1001</v>
      </c>
      <c r="C588" t="s">
        <v>97</v>
      </c>
      <c r="D588" s="19">
        <v>43734.625</v>
      </c>
    </row>
    <row r="589" spans="1:4" x14ac:dyDescent="0.45">
      <c r="A589" s="25">
        <v>43160</v>
      </c>
      <c r="B589">
        <v>1002</v>
      </c>
      <c r="C589" t="s">
        <v>104</v>
      </c>
      <c r="D589" s="19">
        <v>31682.474999999999</v>
      </c>
    </row>
    <row r="590" spans="1:4" x14ac:dyDescent="0.45">
      <c r="A590" s="25">
        <v>43160</v>
      </c>
      <c r="B590">
        <v>1002</v>
      </c>
      <c r="C590" t="s">
        <v>104</v>
      </c>
      <c r="D590" s="19">
        <v>8620.7000000000007</v>
      </c>
    </row>
    <row r="591" spans="1:4" x14ac:dyDescent="0.45">
      <c r="A591" s="25">
        <v>43160</v>
      </c>
      <c r="B591">
        <v>1001</v>
      </c>
      <c r="C591" t="s">
        <v>97</v>
      </c>
      <c r="D591" s="19">
        <v>5614.6750000000002</v>
      </c>
    </row>
    <row r="592" spans="1:4" x14ac:dyDescent="0.45">
      <c r="A592" s="25">
        <v>43160</v>
      </c>
      <c r="B592">
        <v>1001</v>
      </c>
      <c r="C592" t="s">
        <v>145</v>
      </c>
      <c r="D592" s="19">
        <v>43846.824999999997</v>
      </c>
    </row>
    <row r="593" spans="1:4" x14ac:dyDescent="0.45">
      <c r="A593" s="25">
        <v>43160</v>
      </c>
      <c r="B593">
        <v>1001</v>
      </c>
      <c r="C593" t="s">
        <v>97</v>
      </c>
      <c r="D593" s="19">
        <v>158.94999999999999</v>
      </c>
    </row>
    <row r="594" spans="1:4" x14ac:dyDescent="0.45">
      <c r="A594" s="25">
        <v>43160</v>
      </c>
      <c r="B594">
        <v>1002</v>
      </c>
      <c r="C594" t="s">
        <v>104</v>
      </c>
      <c r="D594" s="19">
        <v>40527.574999999997</v>
      </c>
    </row>
    <row r="595" spans="1:4" x14ac:dyDescent="0.45">
      <c r="A595" s="25">
        <v>43160</v>
      </c>
      <c r="B595">
        <v>1002</v>
      </c>
      <c r="C595" t="s">
        <v>104</v>
      </c>
      <c r="D595" s="19">
        <v>1640.925</v>
      </c>
    </row>
    <row r="596" spans="1:4" x14ac:dyDescent="0.45">
      <c r="A596" s="25">
        <v>43160</v>
      </c>
      <c r="B596">
        <v>1001</v>
      </c>
      <c r="C596" t="s">
        <v>97</v>
      </c>
      <c r="D596" s="19">
        <v>16984.275000000001</v>
      </c>
    </row>
    <row r="597" spans="1:4" x14ac:dyDescent="0.45">
      <c r="A597" s="25">
        <v>43160</v>
      </c>
      <c r="B597">
        <v>1002</v>
      </c>
      <c r="C597" t="s">
        <v>104</v>
      </c>
      <c r="D597" s="19">
        <v>45445.675000000003</v>
      </c>
    </row>
    <row r="598" spans="1:4" x14ac:dyDescent="0.45">
      <c r="A598" s="25">
        <v>43160</v>
      </c>
      <c r="B598">
        <v>1001</v>
      </c>
      <c r="C598" t="s">
        <v>145</v>
      </c>
      <c r="D598" s="19">
        <v>28531.525000000001</v>
      </c>
    </row>
    <row r="599" spans="1:4" x14ac:dyDescent="0.45">
      <c r="A599" s="25">
        <v>43160</v>
      </c>
      <c r="B599">
        <v>1001</v>
      </c>
      <c r="C599" t="s">
        <v>97</v>
      </c>
      <c r="D599" s="19">
        <v>15684.625</v>
      </c>
    </row>
    <row r="600" spans="1:4" x14ac:dyDescent="0.45">
      <c r="A600" s="25">
        <v>43160</v>
      </c>
      <c r="B600">
        <v>1002</v>
      </c>
      <c r="C600" t="s">
        <v>104</v>
      </c>
      <c r="D600" s="19">
        <v>9181.7000000000007</v>
      </c>
    </row>
    <row r="601" spans="1:4" x14ac:dyDescent="0.45">
      <c r="A601" s="25">
        <v>43160</v>
      </c>
      <c r="B601">
        <v>1001</v>
      </c>
      <c r="C601" t="s">
        <v>145</v>
      </c>
      <c r="D601" s="19">
        <v>35983.474999999999</v>
      </c>
    </row>
    <row r="602" spans="1:4" x14ac:dyDescent="0.45">
      <c r="A602" s="25">
        <v>43160</v>
      </c>
      <c r="B602">
        <v>1001</v>
      </c>
      <c r="C602" t="s">
        <v>145</v>
      </c>
      <c r="D602" s="19">
        <v>23763.025000000001</v>
      </c>
    </row>
    <row r="603" spans="1:4" x14ac:dyDescent="0.45">
      <c r="A603" s="25">
        <v>43160</v>
      </c>
      <c r="B603">
        <v>1001</v>
      </c>
      <c r="C603" t="s">
        <v>145</v>
      </c>
      <c r="D603" s="19">
        <v>18601.825000000001</v>
      </c>
    </row>
    <row r="604" spans="1:4" x14ac:dyDescent="0.45">
      <c r="A604" s="25">
        <v>43160</v>
      </c>
      <c r="B604">
        <v>1001</v>
      </c>
      <c r="C604" t="s">
        <v>145</v>
      </c>
      <c r="D604" s="19">
        <v>17592.025000000001</v>
      </c>
    </row>
    <row r="605" spans="1:4" x14ac:dyDescent="0.45">
      <c r="A605" s="25">
        <v>43160</v>
      </c>
      <c r="B605">
        <v>1001</v>
      </c>
      <c r="C605" t="s">
        <v>145</v>
      </c>
      <c r="D605" s="19">
        <v>15792.15</v>
      </c>
    </row>
    <row r="606" spans="1:4" x14ac:dyDescent="0.45">
      <c r="A606" s="25">
        <v>43160</v>
      </c>
      <c r="B606">
        <v>1001</v>
      </c>
      <c r="C606" t="s">
        <v>145</v>
      </c>
      <c r="D606" s="19">
        <v>4296.3249999999998</v>
      </c>
    </row>
    <row r="607" spans="1:4" x14ac:dyDescent="0.45">
      <c r="A607" s="25">
        <v>43160</v>
      </c>
      <c r="B607">
        <v>1001</v>
      </c>
      <c r="C607" t="s">
        <v>97</v>
      </c>
      <c r="D607" s="19">
        <v>822.8</v>
      </c>
    </row>
    <row r="608" spans="1:4" x14ac:dyDescent="0.45">
      <c r="A608" s="25">
        <v>43160</v>
      </c>
      <c r="B608">
        <v>1001</v>
      </c>
      <c r="C608" t="s">
        <v>97</v>
      </c>
      <c r="D608" s="19">
        <v>20728.95</v>
      </c>
    </row>
    <row r="609" spans="1:4" x14ac:dyDescent="0.45">
      <c r="A609" s="25">
        <v>43160</v>
      </c>
      <c r="B609">
        <v>1001</v>
      </c>
      <c r="C609" t="s">
        <v>97</v>
      </c>
      <c r="D609" s="19">
        <v>44936.1</v>
      </c>
    </row>
    <row r="610" spans="1:4" x14ac:dyDescent="0.45">
      <c r="A610" s="25">
        <v>43160</v>
      </c>
      <c r="B610">
        <v>1001</v>
      </c>
      <c r="C610" t="s">
        <v>97</v>
      </c>
      <c r="D610" s="19">
        <v>31289.775000000001</v>
      </c>
    </row>
    <row r="611" spans="1:4" x14ac:dyDescent="0.45">
      <c r="A611" s="25">
        <v>43160</v>
      </c>
      <c r="B611">
        <v>1002</v>
      </c>
      <c r="C611" t="s">
        <v>104</v>
      </c>
      <c r="D611" s="19">
        <v>38970.800000000003</v>
      </c>
    </row>
    <row r="612" spans="1:4" x14ac:dyDescent="0.45">
      <c r="A612" s="25">
        <v>43160</v>
      </c>
      <c r="B612">
        <v>1002</v>
      </c>
      <c r="C612" t="s">
        <v>104</v>
      </c>
      <c r="D612" s="19">
        <v>7045.2250000000004</v>
      </c>
    </row>
    <row r="613" spans="1:4" x14ac:dyDescent="0.45">
      <c r="A613" s="25">
        <v>43191</v>
      </c>
      <c r="B613">
        <v>1001</v>
      </c>
      <c r="C613" t="s">
        <v>145</v>
      </c>
      <c r="D613" s="19">
        <v>247.77500000000001</v>
      </c>
    </row>
    <row r="614" spans="1:4" x14ac:dyDescent="0.45">
      <c r="A614" s="25">
        <v>43191</v>
      </c>
      <c r="B614">
        <v>1001</v>
      </c>
      <c r="C614" t="s">
        <v>145</v>
      </c>
      <c r="D614" s="19">
        <v>2276.7249999999999</v>
      </c>
    </row>
    <row r="615" spans="1:4" x14ac:dyDescent="0.45">
      <c r="A615" s="25">
        <v>43191</v>
      </c>
      <c r="B615">
        <v>1001</v>
      </c>
      <c r="C615" t="s">
        <v>97</v>
      </c>
      <c r="D615" s="19">
        <v>4361.7749999999996</v>
      </c>
    </row>
    <row r="616" spans="1:4" x14ac:dyDescent="0.45">
      <c r="A616" s="25">
        <v>43191</v>
      </c>
      <c r="B616">
        <v>1001</v>
      </c>
      <c r="C616" t="s">
        <v>145</v>
      </c>
      <c r="D616" s="19">
        <v>6933.0249999999996</v>
      </c>
    </row>
    <row r="617" spans="1:4" x14ac:dyDescent="0.45">
      <c r="A617" s="25">
        <v>43191</v>
      </c>
      <c r="B617">
        <v>1001</v>
      </c>
      <c r="C617" t="s">
        <v>145</v>
      </c>
      <c r="D617" s="19">
        <v>15062.85</v>
      </c>
    </row>
    <row r="618" spans="1:4" x14ac:dyDescent="0.45">
      <c r="A618" s="25">
        <v>43191</v>
      </c>
      <c r="B618">
        <v>1001</v>
      </c>
      <c r="C618" t="s">
        <v>145</v>
      </c>
      <c r="D618" s="19">
        <v>21696.674999999999</v>
      </c>
    </row>
    <row r="619" spans="1:4" x14ac:dyDescent="0.45">
      <c r="A619" s="25">
        <v>43191</v>
      </c>
      <c r="B619">
        <v>1001</v>
      </c>
      <c r="C619" t="s">
        <v>145</v>
      </c>
      <c r="D619" s="19">
        <v>28452.05</v>
      </c>
    </row>
    <row r="620" spans="1:4" x14ac:dyDescent="0.45">
      <c r="A620" s="25">
        <v>43191</v>
      </c>
      <c r="B620">
        <v>1001</v>
      </c>
      <c r="C620" t="s">
        <v>145</v>
      </c>
      <c r="D620" s="19">
        <v>18003.424999999999</v>
      </c>
    </row>
    <row r="621" spans="1:4" x14ac:dyDescent="0.45">
      <c r="A621" s="25">
        <v>43191</v>
      </c>
      <c r="B621">
        <v>1001</v>
      </c>
      <c r="C621" t="s">
        <v>145</v>
      </c>
      <c r="D621" s="19">
        <v>12533.674999999999</v>
      </c>
    </row>
    <row r="622" spans="1:4" x14ac:dyDescent="0.45">
      <c r="A622" s="25">
        <v>43191</v>
      </c>
      <c r="B622">
        <v>1001</v>
      </c>
      <c r="C622" t="s">
        <v>97</v>
      </c>
      <c r="D622" s="19">
        <v>3183.6750000000002</v>
      </c>
    </row>
    <row r="623" spans="1:4" x14ac:dyDescent="0.45">
      <c r="A623" s="25">
        <v>43191</v>
      </c>
      <c r="B623">
        <v>1001</v>
      </c>
      <c r="C623" t="s">
        <v>97</v>
      </c>
      <c r="D623" s="19">
        <v>27881.7</v>
      </c>
    </row>
    <row r="624" spans="1:4" x14ac:dyDescent="0.45">
      <c r="A624" s="25">
        <v>43191</v>
      </c>
      <c r="B624">
        <v>1001</v>
      </c>
      <c r="C624" t="s">
        <v>97</v>
      </c>
      <c r="D624" s="19">
        <v>36380.85</v>
      </c>
    </row>
    <row r="625" spans="1:4" x14ac:dyDescent="0.45">
      <c r="A625" s="25">
        <v>43191</v>
      </c>
      <c r="B625">
        <v>1001</v>
      </c>
      <c r="C625" t="s">
        <v>97</v>
      </c>
      <c r="D625" s="19">
        <v>355.3</v>
      </c>
    </row>
    <row r="626" spans="1:4" x14ac:dyDescent="0.45">
      <c r="A626" s="25">
        <v>43191</v>
      </c>
      <c r="B626">
        <v>1001</v>
      </c>
      <c r="C626" t="s">
        <v>97</v>
      </c>
      <c r="D626" s="19">
        <v>42238.625</v>
      </c>
    </row>
    <row r="627" spans="1:4" x14ac:dyDescent="0.45">
      <c r="A627" s="25">
        <v>43191</v>
      </c>
      <c r="B627">
        <v>1001</v>
      </c>
      <c r="C627" t="s">
        <v>97</v>
      </c>
      <c r="D627" s="19">
        <v>18433.525000000001</v>
      </c>
    </row>
    <row r="628" spans="1:4" x14ac:dyDescent="0.45">
      <c r="A628" s="25">
        <v>43191</v>
      </c>
      <c r="B628">
        <v>1001</v>
      </c>
      <c r="C628" t="s">
        <v>97</v>
      </c>
      <c r="D628" s="19">
        <v>27353.424999999999</v>
      </c>
    </row>
    <row r="629" spans="1:4" x14ac:dyDescent="0.45">
      <c r="A629" s="25">
        <v>43191</v>
      </c>
      <c r="B629">
        <v>1001</v>
      </c>
      <c r="C629" t="s">
        <v>97</v>
      </c>
      <c r="D629" s="19">
        <v>13646.325000000001</v>
      </c>
    </row>
    <row r="630" spans="1:4" x14ac:dyDescent="0.45">
      <c r="A630" s="25">
        <v>43191</v>
      </c>
      <c r="B630">
        <v>1001</v>
      </c>
      <c r="C630" t="s">
        <v>97</v>
      </c>
      <c r="D630" s="19">
        <v>30789.55</v>
      </c>
    </row>
    <row r="631" spans="1:4" x14ac:dyDescent="0.45">
      <c r="A631" s="25">
        <v>43191</v>
      </c>
      <c r="B631">
        <v>1001</v>
      </c>
      <c r="C631" t="s">
        <v>97</v>
      </c>
      <c r="D631" s="19">
        <v>37175.599999999999</v>
      </c>
    </row>
    <row r="632" spans="1:4" x14ac:dyDescent="0.45">
      <c r="A632" s="25">
        <v>43191</v>
      </c>
      <c r="B632">
        <v>1001</v>
      </c>
      <c r="C632" t="s">
        <v>97</v>
      </c>
      <c r="D632" s="19">
        <v>28844.75</v>
      </c>
    </row>
    <row r="633" spans="1:4" x14ac:dyDescent="0.45">
      <c r="A633" s="25">
        <v>43191</v>
      </c>
      <c r="B633">
        <v>1002</v>
      </c>
      <c r="C633" t="s">
        <v>104</v>
      </c>
      <c r="D633" s="19">
        <v>3286.5250000000001</v>
      </c>
    </row>
    <row r="634" spans="1:4" x14ac:dyDescent="0.45">
      <c r="A634" s="25">
        <v>43191</v>
      </c>
      <c r="B634">
        <v>1002</v>
      </c>
      <c r="C634" t="s">
        <v>104</v>
      </c>
      <c r="D634" s="19">
        <v>5525.85</v>
      </c>
    </row>
    <row r="635" spans="1:4" x14ac:dyDescent="0.45">
      <c r="A635" s="25">
        <v>43191</v>
      </c>
      <c r="B635">
        <v>1002</v>
      </c>
      <c r="C635" t="s">
        <v>104</v>
      </c>
      <c r="D635" s="19">
        <v>24174.424999999999</v>
      </c>
    </row>
    <row r="636" spans="1:4" x14ac:dyDescent="0.45">
      <c r="A636" s="25">
        <v>43191</v>
      </c>
      <c r="B636">
        <v>1002</v>
      </c>
      <c r="C636" t="s">
        <v>104</v>
      </c>
      <c r="D636" s="19">
        <v>2613.3249999999998</v>
      </c>
    </row>
    <row r="637" spans="1:4" x14ac:dyDescent="0.45">
      <c r="A637" s="25">
        <v>43191</v>
      </c>
      <c r="B637">
        <v>1002</v>
      </c>
      <c r="C637" t="s">
        <v>104</v>
      </c>
      <c r="D637" s="19">
        <v>1285.625</v>
      </c>
    </row>
    <row r="638" spans="1:4" x14ac:dyDescent="0.45">
      <c r="A638" s="25">
        <v>43191</v>
      </c>
      <c r="B638">
        <v>1002</v>
      </c>
      <c r="C638" t="s">
        <v>104</v>
      </c>
      <c r="D638" s="19">
        <v>10270.975</v>
      </c>
    </row>
    <row r="639" spans="1:4" x14ac:dyDescent="0.45">
      <c r="A639" s="25">
        <v>43191</v>
      </c>
      <c r="B639">
        <v>1002</v>
      </c>
      <c r="C639" t="s">
        <v>104</v>
      </c>
      <c r="D639" s="19">
        <v>33505.724999999999</v>
      </c>
    </row>
    <row r="640" spans="1:4" x14ac:dyDescent="0.45">
      <c r="A640" s="25">
        <v>43191</v>
      </c>
      <c r="B640">
        <v>1002</v>
      </c>
      <c r="C640" t="s">
        <v>104</v>
      </c>
      <c r="D640" s="19">
        <v>32720.325000000001</v>
      </c>
    </row>
    <row r="641" spans="1:4" x14ac:dyDescent="0.45">
      <c r="A641" s="25">
        <v>43191</v>
      </c>
      <c r="B641">
        <v>1002</v>
      </c>
      <c r="C641" t="s">
        <v>104</v>
      </c>
      <c r="D641" s="19">
        <v>35244.824999999997</v>
      </c>
    </row>
    <row r="642" spans="1:4" x14ac:dyDescent="0.45">
      <c r="A642" s="25">
        <v>43191</v>
      </c>
      <c r="B642">
        <v>1002</v>
      </c>
      <c r="C642" t="s">
        <v>104</v>
      </c>
      <c r="D642" s="19">
        <v>43243.75</v>
      </c>
    </row>
    <row r="643" spans="1:4" x14ac:dyDescent="0.45">
      <c r="A643" s="25">
        <v>43191</v>
      </c>
      <c r="B643">
        <v>1001</v>
      </c>
      <c r="C643" t="s">
        <v>145</v>
      </c>
      <c r="D643" s="19">
        <v>25188.9</v>
      </c>
    </row>
    <row r="644" spans="1:4" x14ac:dyDescent="0.45">
      <c r="A644" s="25">
        <v>43191</v>
      </c>
      <c r="B644">
        <v>1001</v>
      </c>
      <c r="C644" t="s">
        <v>145</v>
      </c>
      <c r="D644" s="19">
        <v>14534.575000000001</v>
      </c>
    </row>
    <row r="645" spans="1:4" x14ac:dyDescent="0.45">
      <c r="A645" s="25">
        <v>43191</v>
      </c>
      <c r="B645">
        <v>1001</v>
      </c>
      <c r="C645" t="s">
        <v>97</v>
      </c>
      <c r="D645" s="19">
        <v>38634.199999999997</v>
      </c>
    </row>
    <row r="646" spans="1:4" x14ac:dyDescent="0.45">
      <c r="A646" s="25">
        <v>43191</v>
      </c>
      <c r="B646">
        <v>1002</v>
      </c>
      <c r="C646" t="s">
        <v>104</v>
      </c>
      <c r="D646" s="19">
        <v>24038.85</v>
      </c>
    </row>
    <row r="647" spans="1:4" x14ac:dyDescent="0.45">
      <c r="A647" s="25">
        <v>43191</v>
      </c>
      <c r="B647">
        <v>1002</v>
      </c>
      <c r="C647" t="s">
        <v>104</v>
      </c>
      <c r="D647" s="19">
        <v>20023.025000000001</v>
      </c>
    </row>
    <row r="648" spans="1:4" x14ac:dyDescent="0.45">
      <c r="A648" s="25">
        <v>43191</v>
      </c>
      <c r="B648">
        <v>1002</v>
      </c>
      <c r="C648" t="s">
        <v>104</v>
      </c>
      <c r="D648" s="19">
        <v>41864.625</v>
      </c>
    </row>
    <row r="649" spans="1:4" x14ac:dyDescent="0.45">
      <c r="A649" s="25">
        <v>43191</v>
      </c>
      <c r="B649">
        <v>1001</v>
      </c>
      <c r="C649" t="s">
        <v>97</v>
      </c>
      <c r="D649" s="19">
        <v>8503.8250000000007</v>
      </c>
    </row>
    <row r="650" spans="1:4" x14ac:dyDescent="0.45">
      <c r="A650" s="25">
        <v>43191</v>
      </c>
      <c r="B650">
        <v>1002</v>
      </c>
      <c r="C650" t="s">
        <v>104</v>
      </c>
      <c r="D650" s="19">
        <v>36170.474999999999</v>
      </c>
    </row>
    <row r="651" spans="1:4" x14ac:dyDescent="0.45">
      <c r="A651" s="25">
        <v>43191</v>
      </c>
      <c r="B651">
        <v>1002</v>
      </c>
      <c r="C651" t="s">
        <v>104</v>
      </c>
      <c r="D651" s="19">
        <v>4179.45</v>
      </c>
    </row>
    <row r="652" spans="1:4" x14ac:dyDescent="0.45">
      <c r="A652" s="25">
        <v>43191</v>
      </c>
      <c r="B652">
        <v>1001</v>
      </c>
      <c r="C652" t="s">
        <v>97</v>
      </c>
      <c r="D652" s="19">
        <v>39428.949999999997</v>
      </c>
    </row>
    <row r="653" spans="1:4" x14ac:dyDescent="0.45">
      <c r="A653" s="25">
        <v>43191</v>
      </c>
      <c r="B653">
        <v>1001</v>
      </c>
      <c r="C653" t="s">
        <v>97</v>
      </c>
      <c r="D653" s="19">
        <v>38133.974999999999</v>
      </c>
    </row>
    <row r="654" spans="1:4" x14ac:dyDescent="0.45">
      <c r="A654" s="25">
        <v>43191</v>
      </c>
      <c r="B654">
        <v>1001</v>
      </c>
      <c r="C654" t="s">
        <v>97</v>
      </c>
      <c r="D654" s="19">
        <v>1210.825</v>
      </c>
    </row>
    <row r="655" spans="1:4" x14ac:dyDescent="0.45">
      <c r="A655" s="25">
        <v>43191</v>
      </c>
      <c r="B655">
        <v>1001</v>
      </c>
      <c r="C655" t="s">
        <v>97</v>
      </c>
      <c r="D655" s="19">
        <v>2748.9</v>
      </c>
    </row>
    <row r="656" spans="1:4" x14ac:dyDescent="0.45">
      <c r="A656" s="25">
        <v>43191</v>
      </c>
      <c r="B656">
        <v>1001</v>
      </c>
      <c r="C656" t="s">
        <v>97</v>
      </c>
      <c r="D656" s="19">
        <v>3529.625</v>
      </c>
    </row>
    <row r="657" spans="1:4" x14ac:dyDescent="0.45">
      <c r="A657" s="25">
        <v>43191</v>
      </c>
      <c r="B657">
        <v>1002</v>
      </c>
      <c r="C657" t="s">
        <v>104</v>
      </c>
      <c r="D657" s="19">
        <v>31836.75</v>
      </c>
    </row>
    <row r="658" spans="1:4" x14ac:dyDescent="0.45">
      <c r="A658" s="25">
        <v>43191</v>
      </c>
      <c r="B658">
        <v>1002</v>
      </c>
      <c r="C658" t="s">
        <v>104</v>
      </c>
      <c r="D658" s="19">
        <v>4048.55</v>
      </c>
    </row>
    <row r="659" spans="1:4" x14ac:dyDescent="0.45">
      <c r="A659" s="25">
        <v>43191</v>
      </c>
      <c r="B659">
        <v>1002</v>
      </c>
      <c r="C659" t="s">
        <v>104</v>
      </c>
      <c r="D659" s="19">
        <v>11617.375</v>
      </c>
    </row>
    <row r="660" spans="1:4" x14ac:dyDescent="0.45">
      <c r="A660" s="25">
        <v>43191</v>
      </c>
      <c r="B660">
        <v>1002</v>
      </c>
      <c r="C660" t="s">
        <v>104</v>
      </c>
      <c r="D660" s="19">
        <v>33141.074999999997</v>
      </c>
    </row>
    <row r="661" spans="1:4" x14ac:dyDescent="0.45">
      <c r="A661" s="25">
        <v>43191</v>
      </c>
      <c r="B661">
        <v>1001</v>
      </c>
      <c r="C661" t="s">
        <v>145</v>
      </c>
      <c r="D661" s="19">
        <v>4034.5250000000001</v>
      </c>
    </row>
    <row r="662" spans="1:4" x14ac:dyDescent="0.45">
      <c r="A662" s="25">
        <v>43191</v>
      </c>
      <c r="B662">
        <v>1001</v>
      </c>
      <c r="C662" t="s">
        <v>145</v>
      </c>
      <c r="D662" s="19">
        <v>26741</v>
      </c>
    </row>
    <row r="663" spans="1:4" x14ac:dyDescent="0.45">
      <c r="A663" s="25">
        <v>43191</v>
      </c>
      <c r="B663">
        <v>1001</v>
      </c>
      <c r="C663" t="s">
        <v>97</v>
      </c>
      <c r="D663" s="19">
        <v>29293.55</v>
      </c>
    </row>
    <row r="664" spans="1:4" x14ac:dyDescent="0.45">
      <c r="A664" s="25">
        <v>43191</v>
      </c>
      <c r="B664">
        <v>1001</v>
      </c>
      <c r="C664" t="s">
        <v>97</v>
      </c>
      <c r="D664" s="19">
        <v>25389.924999999999</v>
      </c>
    </row>
    <row r="665" spans="1:4" x14ac:dyDescent="0.45">
      <c r="A665" s="25">
        <v>43191</v>
      </c>
      <c r="B665">
        <v>1001</v>
      </c>
      <c r="C665" t="s">
        <v>97</v>
      </c>
      <c r="D665" s="19">
        <v>45871.1</v>
      </c>
    </row>
    <row r="666" spans="1:4" x14ac:dyDescent="0.45">
      <c r="A666" s="25">
        <v>43191</v>
      </c>
      <c r="B666">
        <v>1002</v>
      </c>
      <c r="C666" t="s">
        <v>104</v>
      </c>
      <c r="D666" s="19">
        <v>23725.625</v>
      </c>
    </row>
    <row r="667" spans="1:4" x14ac:dyDescent="0.45">
      <c r="A667" s="25">
        <v>43191</v>
      </c>
      <c r="B667">
        <v>1002</v>
      </c>
      <c r="C667" t="s">
        <v>104</v>
      </c>
      <c r="D667" s="19">
        <v>16488.724999999999</v>
      </c>
    </row>
    <row r="668" spans="1:4" x14ac:dyDescent="0.45">
      <c r="A668" s="25">
        <v>43191</v>
      </c>
      <c r="B668">
        <v>1001</v>
      </c>
      <c r="C668" t="s">
        <v>145</v>
      </c>
      <c r="D668" s="19">
        <v>10897.424999999999</v>
      </c>
    </row>
    <row r="669" spans="1:4" x14ac:dyDescent="0.45">
      <c r="A669" s="25">
        <v>43191</v>
      </c>
      <c r="B669">
        <v>1001</v>
      </c>
      <c r="C669" t="s">
        <v>145</v>
      </c>
      <c r="D669" s="19">
        <v>2725.5250000000001</v>
      </c>
    </row>
    <row r="670" spans="1:4" x14ac:dyDescent="0.45">
      <c r="A670" s="25">
        <v>43191</v>
      </c>
      <c r="B670">
        <v>1002</v>
      </c>
      <c r="C670" t="s">
        <v>104</v>
      </c>
      <c r="D670" s="19">
        <v>44253.55</v>
      </c>
    </row>
    <row r="671" spans="1:4" x14ac:dyDescent="0.45">
      <c r="A671" s="25">
        <v>43191</v>
      </c>
      <c r="B671">
        <v>1002</v>
      </c>
      <c r="C671" t="s">
        <v>104</v>
      </c>
      <c r="D671" s="19">
        <v>23403.05</v>
      </c>
    </row>
    <row r="672" spans="1:4" x14ac:dyDescent="0.45">
      <c r="A672" s="25">
        <v>43191</v>
      </c>
      <c r="B672">
        <v>1002</v>
      </c>
      <c r="C672" t="s">
        <v>104</v>
      </c>
      <c r="D672" s="19">
        <v>44964.15</v>
      </c>
    </row>
    <row r="673" spans="1:4" x14ac:dyDescent="0.45">
      <c r="A673" s="25">
        <v>43191</v>
      </c>
      <c r="B673">
        <v>1002</v>
      </c>
      <c r="C673" t="s">
        <v>104</v>
      </c>
      <c r="D673" s="19">
        <v>43398.025000000001</v>
      </c>
    </row>
    <row r="674" spans="1:4" x14ac:dyDescent="0.45">
      <c r="A674" s="25">
        <v>43191</v>
      </c>
      <c r="B674">
        <v>1001</v>
      </c>
      <c r="C674" t="s">
        <v>145</v>
      </c>
      <c r="D674" s="19">
        <v>21930.424999999999</v>
      </c>
    </row>
    <row r="675" spans="1:4" x14ac:dyDescent="0.45">
      <c r="A675" s="25">
        <v>43191</v>
      </c>
      <c r="B675">
        <v>1001</v>
      </c>
      <c r="C675" t="s">
        <v>97</v>
      </c>
      <c r="D675" s="19">
        <v>26465.174999999999</v>
      </c>
    </row>
    <row r="676" spans="1:4" x14ac:dyDescent="0.45">
      <c r="A676" s="25">
        <v>43191</v>
      </c>
      <c r="B676">
        <v>1002</v>
      </c>
      <c r="C676" t="s">
        <v>104</v>
      </c>
      <c r="D676" s="19">
        <v>15736.05</v>
      </c>
    </row>
    <row r="677" spans="1:4" x14ac:dyDescent="0.45">
      <c r="A677" s="25">
        <v>43221</v>
      </c>
      <c r="B677">
        <v>1001</v>
      </c>
      <c r="C677" t="s">
        <v>145</v>
      </c>
      <c r="D677" s="19">
        <v>43846.824999999997</v>
      </c>
    </row>
    <row r="678" spans="1:4" x14ac:dyDescent="0.45">
      <c r="A678" s="25">
        <v>43221</v>
      </c>
      <c r="B678">
        <v>1001</v>
      </c>
      <c r="C678" t="s">
        <v>97</v>
      </c>
      <c r="D678" s="19">
        <v>9345.3250000000007</v>
      </c>
    </row>
    <row r="679" spans="1:4" x14ac:dyDescent="0.45">
      <c r="A679" s="25">
        <v>43221</v>
      </c>
      <c r="B679">
        <v>1001</v>
      </c>
      <c r="C679" t="s">
        <v>97</v>
      </c>
      <c r="D679" s="19">
        <v>16039.924999999999</v>
      </c>
    </row>
    <row r="680" spans="1:4" x14ac:dyDescent="0.45">
      <c r="A680" s="25">
        <v>43221</v>
      </c>
      <c r="B680">
        <v>1001</v>
      </c>
      <c r="C680" t="s">
        <v>97</v>
      </c>
      <c r="D680" s="19">
        <v>34351.9</v>
      </c>
    </row>
    <row r="681" spans="1:4" x14ac:dyDescent="0.45">
      <c r="A681" s="25">
        <v>43221</v>
      </c>
      <c r="B681">
        <v>1002</v>
      </c>
      <c r="C681" t="s">
        <v>104</v>
      </c>
      <c r="D681" s="19">
        <v>15927.725</v>
      </c>
    </row>
    <row r="682" spans="1:4" x14ac:dyDescent="0.45">
      <c r="A682" s="25">
        <v>43221</v>
      </c>
      <c r="B682">
        <v>1002</v>
      </c>
      <c r="C682" t="s">
        <v>104</v>
      </c>
      <c r="D682" s="19">
        <v>12664.575000000001</v>
      </c>
    </row>
    <row r="683" spans="1:4" x14ac:dyDescent="0.45">
      <c r="A683" s="25">
        <v>43221</v>
      </c>
      <c r="B683">
        <v>1002</v>
      </c>
      <c r="C683" t="s">
        <v>104</v>
      </c>
      <c r="D683" s="19">
        <v>23314.224999999999</v>
      </c>
    </row>
    <row r="684" spans="1:4" x14ac:dyDescent="0.45">
      <c r="A684" s="25">
        <v>43221</v>
      </c>
      <c r="B684">
        <v>1001</v>
      </c>
      <c r="C684" t="s">
        <v>145</v>
      </c>
      <c r="D684" s="19">
        <v>43846.824999999997</v>
      </c>
    </row>
    <row r="685" spans="1:4" x14ac:dyDescent="0.45">
      <c r="A685" s="25">
        <v>43221</v>
      </c>
      <c r="B685">
        <v>1001</v>
      </c>
      <c r="C685" t="s">
        <v>97</v>
      </c>
      <c r="D685" s="19">
        <v>20841.150000000001</v>
      </c>
    </row>
    <row r="686" spans="1:4" x14ac:dyDescent="0.45">
      <c r="A686" s="25">
        <v>43221</v>
      </c>
      <c r="B686">
        <v>1001</v>
      </c>
      <c r="C686" t="s">
        <v>97</v>
      </c>
      <c r="D686" s="19">
        <v>3987.7750000000001</v>
      </c>
    </row>
    <row r="687" spans="1:4" x14ac:dyDescent="0.45">
      <c r="A687" s="25">
        <v>43221</v>
      </c>
      <c r="B687">
        <v>1001</v>
      </c>
      <c r="C687" t="s">
        <v>97</v>
      </c>
      <c r="D687" s="19">
        <v>19887.45</v>
      </c>
    </row>
    <row r="688" spans="1:4" x14ac:dyDescent="0.45">
      <c r="A688" s="25">
        <v>43221</v>
      </c>
      <c r="B688">
        <v>1002</v>
      </c>
      <c r="C688" t="s">
        <v>104</v>
      </c>
      <c r="D688" s="19">
        <v>4913.4250000000002</v>
      </c>
    </row>
    <row r="689" spans="1:4" x14ac:dyDescent="0.45">
      <c r="A689" s="25">
        <v>43221</v>
      </c>
      <c r="B689">
        <v>1002</v>
      </c>
      <c r="C689" t="s">
        <v>104</v>
      </c>
      <c r="D689" s="19">
        <v>7751.15</v>
      </c>
    </row>
    <row r="690" spans="1:4" x14ac:dyDescent="0.45">
      <c r="A690" s="25">
        <v>43221</v>
      </c>
      <c r="B690">
        <v>1002</v>
      </c>
      <c r="C690" t="s">
        <v>104</v>
      </c>
      <c r="D690" s="19">
        <v>37418.699999999997</v>
      </c>
    </row>
    <row r="691" spans="1:4" x14ac:dyDescent="0.45">
      <c r="A691" s="25">
        <v>43221</v>
      </c>
      <c r="B691">
        <v>1001</v>
      </c>
      <c r="C691" t="s">
        <v>97</v>
      </c>
      <c r="D691" s="19">
        <v>18073.55</v>
      </c>
    </row>
    <row r="692" spans="1:4" x14ac:dyDescent="0.45">
      <c r="A692" s="25">
        <v>43221</v>
      </c>
      <c r="B692">
        <v>1001</v>
      </c>
      <c r="C692" t="s">
        <v>145</v>
      </c>
      <c r="D692" s="19">
        <v>43846.824999999997</v>
      </c>
    </row>
    <row r="693" spans="1:4" x14ac:dyDescent="0.45">
      <c r="A693" s="25">
        <v>43221</v>
      </c>
      <c r="B693">
        <v>1001</v>
      </c>
      <c r="C693" t="s">
        <v>145</v>
      </c>
      <c r="D693" s="19">
        <v>14712.225</v>
      </c>
    </row>
    <row r="694" spans="1:4" x14ac:dyDescent="0.45">
      <c r="A694" s="25">
        <v>43221</v>
      </c>
      <c r="B694">
        <v>1001</v>
      </c>
      <c r="C694" t="s">
        <v>145</v>
      </c>
      <c r="D694" s="19">
        <v>38783.800000000003</v>
      </c>
    </row>
    <row r="695" spans="1:4" x14ac:dyDescent="0.45">
      <c r="A695" s="25">
        <v>43221</v>
      </c>
      <c r="B695">
        <v>1001</v>
      </c>
      <c r="C695" t="s">
        <v>145</v>
      </c>
      <c r="D695" s="19">
        <v>38886.65</v>
      </c>
    </row>
    <row r="696" spans="1:4" x14ac:dyDescent="0.45">
      <c r="A696" s="25">
        <v>43221</v>
      </c>
      <c r="B696">
        <v>1001</v>
      </c>
      <c r="C696" t="s">
        <v>145</v>
      </c>
      <c r="D696" s="19">
        <v>12472.9</v>
      </c>
    </row>
    <row r="697" spans="1:4" x14ac:dyDescent="0.45">
      <c r="A697" s="25">
        <v>43221</v>
      </c>
      <c r="B697">
        <v>1001</v>
      </c>
      <c r="C697" t="s">
        <v>145</v>
      </c>
      <c r="D697" s="19">
        <v>2557.2249999999999</v>
      </c>
    </row>
    <row r="698" spans="1:4" x14ac:dyDescent="0.45">
      <c r="A698" s="25">
        <v>43221</v>
      </c>
      <c r="B698">
        <v>1001</v>
      </c>
      <c r="C698" t="s">
        <v>145</v>
      </c>
      <c r="D698" s="19">
        <v>11402.325000000001</v>
      </c>
    </row>
    <row r="699" spans="1:4" x14ac:dyDescent="0.45">
      <c r="A699" s="25">
        <v>43221</v>
      </c>
      <c r="B699">
        <v>1001</v>
      </c>
      <c r="C699" t="s">
        <v>97</v>
      </c>
      <c r="D699" s="19">
        <v>1107.9749999999999</v>
      </c>
    </row>
    <row r="700" spans="1:4" x14ac:dyDescent="0.45">
      <c r="A700" s="25">
        <v>43221</v>
      </c>
      <c r="B700">
        <v>1001</v>
      </c>
      <c r="C700" t="s">
        <v>97</v>
      </c>
      <c r="D700" s="19">
        <v>35137.300000000003</v>
      </c>
    </row>
    <row r="701" spans="1:4" x14ac:dyDescent="0.45">
      <c r="A701" s="25">
        <v>43221</v>
      </c>
      <c r="B701">
        <v>1001</v>
      </c>
      <c r="C701" t="s">
        <v>97</v>
      </c>
      <c r="D701" s="19">
        <v>31621.7</v>
      </c>
    </row>
    <row r="702" spans="1:4" x14ac:dyDescent="0.45">
      <c r="A702" s="25">
        <v>43221</v>
      </c>
      <c r="B702">
        <v>1001</v>
      </c>
      <c r="C702" t="s">
        <v>97</v>
      </c>
      <c r="D702" s="19">
        <v>11201.3</v>
      </c>
    </row>
    <row r="703" spans="1:4" x14ac:dyDescent="0.45">
      <c r="A703" s="25">
        <v>43221</v>
      </c>
      <c r="B703">
        <v>1002</v>
      </c>
      <c r="C703" t="s">
        <v>104</v>
      </c>
      <c r="D703" s="19">
        <v>26628.799999999999</v>
      </c>
    </row>
    <row r="704" spans="1:4" x14ac:dyDescent="0.45">
      <c r="A704" s="25">
        <v>43221</v>
      </c>
      <c r="B704">
        <v>1002</v>
      </c>
      <c r="C704" t="s">
        <v>104</v>
      </c>
      <c r="D704" s="19">
        <v>32776.425000000003</v>
      </c>
    </row>
    <row r="705" spans="1:4" x14ac:dyDescent="0.45">
      <c r="A705" s="25">
        <v>43221</v>
      </c>
      <c r="B705">
        <v>1001</v>
      </c>
      <c r="C705" t="s">
        <v>97</v>
      </c>
      <c r="D705" s="19">
        <v>3707.2750000000001</v>
      </c>
    </row>
    <row r="706" spans="1:4" x14ac:dyDescent="0.45">
      <c r="A706" s="25">
        <v>43221</v>
      </c>
      <c r="B706">
        <v>1001</v>
      </c>
      <c r="C706" t="s">
        <v>97</v>
      </c>
      <c r="D706" s="19">
        <v>36394.875</v>
      </c>
    </row>
    <row r="707" spans="1:4" x14ac:dyDescent="0.45">
      <c r="A707" s="25">
        <v>43221</v>
      </c>
      <c r="B707">
        <v>1001</v>
      </c>
      <c r="C707" t="s">
        <v>97</v>
      </c>
      <c r="D707" s="19">
        <v>11477.125</v>
      </c>
    </row>
    <row r="708" spans="1:4" x14ac:dyDescent="0.45">
      <c r="A708" s="25">
        <v>43221</v>
      </c>
      <c r="B708">
        <v>1001</v>
      </c>
      <c r="C708" t="s">
        <v>97</v>
      </c>
      <c r="D708" s="19">
        <v>24197.8</v>
      </c>
    </row>
    <row r="709" spans="1:4" x14ac:dyDescent="0.45">
      <c r="A709" s="25">
        <v>43221</v>
      </c>
      <c r="B709">
        <v>1001</v>
      </c>
      <c r="C709" t="s">
        <v>97</v>
      </c>
      <c r="D709" s="19">
        <v>13608.924999999999</v>
      </c>
    </row>
    <row r="710" spans="1:4" x14ac:dyDescent="0.45">
      <c r="A710" s="25">
        <v>43221</v>
      </c>
      <c r="B710">
        <v>1002</v>
      </c>
      <c r="C710" t="s">
        <v>104</v>
      </c>
      <c r="D710" s="19">
        <v>3623.125</v>
      </c>
    </row>
    <row r="711" spans="1:4" x14ac:dyDescent="0.45">
      <c r="A711" s="25">
        <v>43252</v>
      </c>
      <c r="B711">
        <v>1002</v>
      </c>
      <c r="C711" t="s">
        <v>104</v>
      </c>
      <c r="D711" s="19">
        <v>45749.55</v>
      </c>
    </row>
    <row r="712" spans="1:4" x14ac:dyDescent="0.45">
      <c r="A712" s="25">
        <v>43252</v>
      </c>
      <c r="B712">
        <v>1001</v>
      </c>
      <c r="C712" t="s">
        <v>145</v>
      </c>
      <c r="D712" s="19">
        <v>28138.825000000001</v>
      </c>
    </row>
    <row r="713" spans="1:4" x14ac:dyDescent="0.45">
      <c r="A713" s="25">
        <v>43252</v>
      </c>
      <c r="B713">
        <v>1001</v>
      </c>
      <c r="C713" t="s">
        <v>145</v>
      </c>
      <c r="D713" s="19">
        <v>2360.875</v>
      </c>
    </row>
    <row r="714" spans="1:4" x14ac:dyDescent="0.45">
      <c r="A714" s="25">
        <v>43252</v>
      </c>
      <c r="B714">
        <v>1001</v>
      </c>
      <c r="C714" t="s">
        <v>145</v>
      </c>
      <c r="D714" s="19">
        <v>34403.324999999997</v>
      </c>
    </row>
    <row r="715" spans="1:4" x14ac:dyDescent="0.45">
      <c r="A715" s="25">
        <v>43252</v>
      </c>
      <c r="B715">
        <v>1001</v>
      </c>
      <c r="C715" t="s">
        <v>145</v>
      </c>
      <c r="D715" s="19">
        <v>27811.575000000001</v>
      </c>
    </row>
    <row r="716" spans="1:4" x14ac:dyDescent="0.45">
      <c r="A716" s="25">
        <v>43252</v>
      </c>
      <c r="B716">
        <v>1001</v>
      </c>
      <c r="C716" t="s">
        <v>145</v>
      </c>
      <c r="D716" s="19">
        <v>44015.125</v>
      </c>
    </row>
    <row r="717" spans="1:4" x14ac:dyDescent="0.45">
      <c r="A717" s="25">
        <v>43252</v>
      </c>
      <c r="B717">
        <v>1001</v>
      </c>
      <c r="C717" t="s">
        <v>145</v>
      </c>
      <c r="D717" s="19">
        <v>8386.9500000000007</v>
      </c>
    </row>
    <row r="718" spans="1:4" x14ac:dyDescent="0.45">
      <c r="A718" s="25">
        <v>43252</v>
      </c>
      <c r="B718">
        <v>1001</v>
      </c>
      <c r="C718" t="s">
        <v>97</v>
      </c>
      <c r="D718" s="19">
        <v>33898.425000000003</v>
      </c>
    </row>
    <row r="719" spans="1:4" x14ac:dyDescent="0.45">
      <c r="A719" s="25">
        <v>43252</v>
      </c>
      <c r="B719">
        <v>1001</v>
      </c>
      <c r="C719" t="s">
        <v>97</v>
      </c>
      <c r="D719" s="19">
        <v>32168.674999999999</v>
      </c>
    </row>
    <row r="720" spans="1:4" x14ac:dyDescent="0.45">
      <c r="A720" s="25">
        <v>43252</v>
      </c>
      <c r="B720">
        <v>1001</v>
      </c>
      <c r="C720" t="s">
        <v>97</v>
      </c>
      <c r="D720" s="19">
        <v>7428.5749999999998</v>
      </c>
    </row>
    <row r="721" spans="1:4" x14ac:dyDescent="0.45">
      <c r="A721" s="25">
        <v>43252</v>
      </c>
      <c r="B721">
        <v>1001</v>
      </c>
      <c r="C721" t="s">
        <v>97</v>
      </c>
      <c r="D721" s="19">
        <v>24581.15</v>
      </c>
    </row>
    <row r="722" spans="1:4" x14ac:dyDescent="0.45">
      <c r="A722" s="25">
        <v>43252</v>
      </c>
      <c r="B722">
        <v>1001</v>
      </c>
      <c r="C722" t="s">
        <v>97</v>
      </c>
      <c r="D722" s="19">
        <v>28106.1</v>
      </c>
    </row>
    <row r="723" spans="1:4" x14ac:dyDescent="0.45">
      <c r="A723" s="25">
        <v>43252</v>
      </c>
      <c r="B723">
        <v>1002</v>
      </c>
      <c r="C723" t="s">
        <v>104</v>
      </c>
      <c r="D723" s="19">
        <v>37942.300000000003</v>
      </c>
    </row>
    <row r="724" spans="1:4" x14ac:dyDescent="0.45">
      <c r="A724" s="25">
        <v>43252</v>
      </c>
      <c r="B724">
        <v>1002</v>
      </c>
      <c r="C724" t="s">
        <v>104</v>
      </c>
      <c r="D724" s="19">
        <v>682.55</v>
      </c>
    </row>
    <row r="725" spans="1:4" x14ac:dyDescent="0.45">
      <c r="A725" s="25">
        <v>43252</v>
      </c>
      <c r="B725">
        <v>1002</v>
      </c>
      <c r="C725" t="s">
        <v>104</v>
      </c>
      <c r="D725" s="19">
        <v>17222.7</v>
      </c>
    </row>
    <row r="726" spans="1:4" x14ac:dyDescent="0.45">
      <c r="A726" s="25">
        <v>43252</v>
      </c>
      <c r="B726">
        <v>1002</v>
      </c>
      <c r="C726" t="s">
        <v>104</v>
      </c>
      <c r="D726" s="19">
        <v>24978.525000000001</v>
      </c>
    </row>
    <row r="727" spans="1:4" x14ac:dyDescent="0.45">
      <c r="A727" s="25">
        <v>43252</v>
      </c>
      <c r="B727">
        <v>1002</v>
      </c>
      <c r="C727" t="s">
        <v>104</v>
      </c>
      <c r="D727" s="19">
        <v>19541.5</v>
      </c>
    </row>
    <row r="728" spans="1:4" x14ac:dyDescent="0.45">
      <c r="A728" s="25">
        <v>43252</v>
      </c>
      <c r="B728">
        <v>1002</v>
      </c>
      <c r="C728" t="s">
        <v>104</v>
      </c>
      <c r="D728" s="19">
        <v>44604.175000000003</v>
      </c>
    </row>
    <row r="729" spans="1:4" x14ac:dyDescent="0.45">
      <c r="A729" s="25">
        <v>43252</v>
      </c>
      <c r="B729">
        <v>1001</v>
      </c>
      <c r="C729" t="s">
        <v>145</v>
      </c>
      <c r="D729" s="19">
        <v>3174.3249999999998</v>
      </c>
    </row>
    <row r="730" spans="1:4" x14ac:dyDescent="0.45">
      <c r="A730" s="25">
        <v>43252</v>
      </c>
      <c r="B730">
        <v>1001</v>
      </c>
      <c r="C730" t="s">
        <v>97</v>
      </c>
      <c r="D730" s="19">
        <v>45347.5</v>
      </c>
    </row>
    <row r="731" spans="1:4" x14ac:dyDescent="0.45">
      <c r="A731" s="25">
        <v>43252</v>
      </c>
      <c r="B731">
        <v>1001</v>
      </c>
      <c r="C731" t="s">
        <v>97</v>
      </c>
      <c r="D731" s="19">
        <v>3894.2750000000001</v>
      </c>
    </row>
    <row r="732" spans="1:4" x14ac:dyDescent="0.45">
      <c r="A732" s="25">
        <v>43252</v>
      </c>
      <c r="B732">
        <v>1002</v>
      </c>
      <c r="C732" t="s">
        <v>104</v>
      </c>
      <c r="D732" s="19">
        <v>12173.7</v>
      </c>
    </row>
    <row r="733" spans="1:4" x14ac:dyDescent="0.45">
      <c r="A733" s="25">
        <v>43252</v>
      </c>
      <c r="B733">
        <v>1001</v>
      </c>
      <c r="C733" t="s">
        <v>145</v>
      </c>
      <c r="D733" s="19">
        <v>19784.599999999999</v>
      </c>
    </row>
    <row r="734" spans="1:4" x14ac:dyDescent="0.45">
      <c r="A734" s="25">
        <v>43252</v>
      </c>
      <c r="B734">
        <v>1002</v>
      </c>
      <c r="C734" t="s">
        <v>104</v>
      </c>
      <c r="D734" s="19">
        <v>11140.525</v>
      </c>
    </row>
    <row r="735" spans="1:4" x14ac:dyDescent="0.45">
      <c r="A735" s="25">
        <v>43252</v>
      </c>
      <c r="B735">
        <v>1002</v>
      </c>
      <c r="C735" t="s">
        <v>104</v>
      </c>
      <c r="D735" s="19">
        <v>31869.474999999999</v>
      </c>
    </row>
    <row r="736" spans="1:4" x14ac:dyDescent="0.45">
      <c r="A736" s="25">
        <v>43252</v>
      </c>
      <c r="B736">
        <v>1002</v>
      </c>
      <c r="C736" t="s">
        <v>104</v>
      </c>
      <c r="D736" s="19">
        <v>34192.949999999997</v>
      </c>
    </row>
    <row r="737" spans="1:4" x14ac:dyDescent="0.45">
      <c r="A737" s="25">
        <v>43252</v>
      </c>
      <c r="B737">
        <v>1001</v>
      </c>
      <c r="C737" t="s">
        <v>97</v>
      </c>
      <c r="D737" s="19">
        <v>26895.275000000001</v>
      </c>
    </row>
    <row r="738" spans="1:4" x14ac:dyDescent="0.45">
      <c r="A738" s="25">
        <v>43252</v>
      </c>
      <c r="B738">
        <v>1001</v>
      </c>
      <c r="C738" t="s">
        <v>97</v>
      </c>
      <c r="D738" s="19">
        <v>11781</v>
      </c>
    </row>
    <row r="739" spans="1:4" x14ac:dyDescent="0.45">
      <c r="A739" s="25">
        <v>43252</v>
      </c>
      <c r="B739">
        <v>1001</v>
      </c>
      <c r="C739" t="s">
        <v>97</v>
      </c>
      <c r="D739" s="19">
        <v>19331.125</v>
      </c>
    </row>
    <row r="740" spans="1:4" x14ac:dyDescent="0.45">
      <c r="A740" s="25">
        <v>43252</v>
      </c>
      <c r="B740">
        <v>1001</v>
      </c>
      <c r="C740" t="s">
        <v>97</v>
      </c>
      <c r="D740" s="19">
        <v>3791.4250000000002</v>
      </c>
    </row>
    <row r="741" spans="1:4" x14ac:dyDescent="0.45">
      <c r="A741" s="25">
        <v>43252</v>
      </c>
      <c r="B741">
        <v>1001</v>
      </c>
      <c r="C741" t="s">
        <v>145</v>
      </c>
      <c r="D741" s="19">
        <v>22799.974999999999</v>
      </c>
    </row>
    <row r="742" spans="1:4" x14ac:dyDescent="0.45">
      <c r="A742" s="25">
        <v>43252</v>
      </c>
      <c r="B742">
        <v>1001</v>
      </c>
      <c r="C742" t="s">
        <v>145</v>
      </c>
      <c r="D742" s="19">
        <v>44693</v>
      </c>
    </row>
    <row r="743" spans="1:4" x14ac:dyDescent="0.45">
      <c r="A743" s="25">
        <v>43252</v>
      </c>
      <c r="B743">
        <v>1001</v>
      </c>
      <c r="C743" t="s">
        <v>97</v>
      </c>
      <c r="D743" s="19">
        <v>32514.625</v>
      </c>
    </row>
    <row r="744" spans="1:4" x14ac:dyDescent="0.45">
      <c r="A744" s="25">
        <v>43252</v>
      </c>
      <c r="B744">
        <v>1001</v>
      </c>
      <c r="C744" t="s">
        <v>97</v>
      </c>
      <c r="D744" s="19">
        <v>37414.025000000001</v>
      </c>
    </row>
    <row r="745" spans="1:4" x14ac:dyDescent="0.45">
      <c r="A745" s="25">
        <v>43252</v>
      </c>
      <c r="B745">
        <v>1001</v>
      </c>
      <c r="C745" t="s">
        <v>97</v>
      </c>
      <c r="D745" s="19">
        <v>8564.6</v>
      </c>
    </row>
    <row r="746" spans="1:4" x14ac:dyDescent="0.45">
      <c r="A746" s="25">
        <v>43252</v>
      </c>
      <c r="B746">
        <v>1002</v>
      </c>
      <c r="C746" t="s">
        <v>104</v>
      </c>
      <c r="D746" s="19">
        <v>25544.2</v>
      </c>
    </row>
    <row r="747" spans="1:4" x14ac:dyDescent="0.45">
      <c r="A747" s="25">
        <v>43282</v>
      </c>
      <c r="B747">
        <v>1001</v>
      </c>
      <c r="C747" t="s">
        <v>145</v>
      </c>
      <c r="D747" s="19">
        <v>43846.824999999997</v>
      </c>
    </row>
    <row r="748" spans="1:4" x14ac:dyDescent="0.45">
      <c r="A748" s="25">
        <v>43282</v>
      </c>
      <c r="B748">
        <v>1001</v>
      </c>
      <c r="C748" t="s">
        <v>97</v>
      </c>
      <c r="D748" s="19">
        <v>40200.324999999997</v>
      </c>
    </row>
    <row r="749" spans="1:4" x14ac:dyDescent="0.45">
      <c r="A749" s="25">
        <v>43282</v>
      </c>
      <c r="B749">
        <v>1001</v>
      </c>
      <c r="C749" t="s">
        <v>97</v>
      </c>
      <c r="D749" s="19">
        <v>14202.65</v>
      </c>
    </row>
    <row r="750" spans="1:4" x14ac:dyDescent="0.45">
      <c r="A750" s="25">
        <v>43282</v>
      </c>
      <c r="B750">
        <v>1002</v>
      </c>
      <c r="C750" t="s">
        <v>104</v>
      </c>
      <c r="D750" s="19">
        <v>30308.025000000001</v>
      </c>
    </row>
    <row r="751" spans="1:4" x14ac:dyDescent="0.45">
      <c r="A751" s="25">
        <v>43282</v>
      </c>
      <c r="B751">
        <v>1001</v>
      </c>
      <c r="C751" t="s">
        <v>97</v>
      </c>
      <c r="D751" s="19">
        <v>26151.95</v>
      </c>
    </row>
    <row r="752" spans="1:4" x14ac:dyDescent="0.45">
      <c r="A752" s="25">
        <v>43282</v>
      </c>
      <c r="B752">
        <v>1002</v>
      </c>
      <c r="C752" t="s">
        <v>104</v>
      </c>
      <c r="D752" s="19">
        <v>3164.9749999999999</v>
      </c>
    </row>
    <row r="753" spans="1:4" x14ac:dyDescent="0.45">
      <c r="A753" s="25">
        <v>43282</v>
      </c>
      <c r="B753">
        <v>1001</v>
      </c>
      <c r="C753" t="s">
        <v>97</v>
      </c>
      <c r="D753" s="19">
        <v>22645.7</v>
      </c>
    </row>
    <row r="754" spans="1:4" x14ac:dyDescent="0.45">
      <c r="A754" s="25">
        <v>43282</v>
      </c>
      <c r="B754">
        <v>1002</v>
      </c>
      <c r="C754" t="s">
        <v>104</v>
      </c>
      <c r="D754" s="19">
        <v>41336.35</v>
      </c>
    </row>
    <row r="755" spans="1:4" x14ac:dyDescent="0.45">
      <c r="A755" s="25">
        <v>43282</v>
      </c>
      <c r="B755">
        <v>1002</v>
      </c>
      <c r="C755" t="s">
        <v>104</v>
      </c>
      <c r="D755" s="19">
        <v>29298.224999999999</v>
      </c>
    </row>
    <row r="756" spans="1:4" x14ac:dyDescent="0.45">
      <c r="A756" s="25">
        <v>43282</v>
      </c>
      <c r="B756">
        <v>1002</v>
      </c>
      <c r="C756" t="s">
        <v>104</v>
      </c>
      <c r="D756" s="19">
        <v>42589.25</v>
      </c>
    </row>
    <row r="757" spans="1:4" x14ac:dyDescent="0.45">
      <c r="A757" s="25">
        <v>43282</v>
      </c>
      <c r="B757">
        <v>1001</v>
      </c>
      <c r="C757" t="s">
        <v>97</v>
      </c>
      <c r="D757" s="19">
        <v>30392.174999999999</v>
      </c>
    </row>
    <row r="758" spans="1:4" x14ac:dyDescent="0.45">
      <c r="A758" s="25">
        <v>43282</v>
      </c>
      <c r="B758">
        <v>1001</v>
      </c>
      <c r="C758" t="s">
        <v>97</v>
      </c>
      <c r="D758" s="19">
        <v>27638.6</v>
      </c>
    </row>
    <row r="759" spans="1:4" x14ac:dyDescent="0.45">
      <c r="A759" s="25">
        <v>43282</v>
      </c>
      <c r="B759">
        <v>1002</v>
      </c>
      <c r="C759" t="s">
        <v>104</v>
      </c>
      <c r="D759" s="19">
        <v>43842.15</v>
      </c>
    </row>
    <row r="760" spans="1:4" x14ac:dyDescent="0.45">
      <c r="A760" s="25">
        <v>43282</v>
      </c>
      <c r="B760">
        <v>1001</v>
      </c>
      <c r="C760" t="s">
        <v>145</v>
      </c>
      <c r="D760" s="19">
        <v>38040.474999999999</v>
      </c>
    </row>
    <row r="761" spans="1:4" x14ac:dyDescent="0.45">
      <c r="A761" s="25">
        <v>43282</v>
      </c>
      <c r="B761">
        <v>1001</v>
      </c>
      <c r="C761" t="s">
        <v>145</v>
      </c>
      <c r="D761" s="19">
        <v>22893.474999999999</v>
      </c>
    </row>
    <row r="762" spans="1:4" x14ac:dyDescent="0.45">
      <c r="A762" s="25">
        <v>43282</v>
      </c>
      <c r="B762">
        <v>1002</v>
      </c>
      <c r="C762" t="s">
        <v>104</v>
      </c>
      <c r="D762" s="19">
        <v>15941.75</v>
      </c>
    </row>
    <row r="763" spans="1:4" x14ac:dyDescent="0.45">
      <c r="A763" s="25">
        <v>43282</v>
      </c>
      <c r="B763">
        <v>1002</v>
      </c>
      <c r="C763" t="s">
        <v>104</v>
      </c>
      <c r="D763" s="19">
        <v>29284.2</v>
      </c>
    </row>
    <row r="764" spans="1:4" x14ac:dyDescent="0.45">
      <c r="A764" s="25">
        <v>43282</v>
      </c>
      <c r="B764">
        <v>1001</v>
      </c>
      <c r="C764" t="s">
        <v>145</v>
      </c>
      <c r="D764" s="19">
        <v>40242.400000000001</v>
      </c>
    </row>
    <row r="765" spans="1:4" x14ac:dyDescent="0.45">
      <c r="A765" s="25">
        <v>43282</v>
      </c>
      <c r="B765">
        <v>1001</v>
      </c>
      <c r="C765" t="s">
        <v>145</v>
      </c>
      <c r="D765" s="19">
        <v>34580.974999999999</v>
      </c>
    </row>
    <row r="766" spans="1:4" x14ac:dyDescent="0.45">
      <c r="A766" s="25">
        <v>43282</v>
      </c>
      <c r="B766">
        <v>1001</v>
      </c>
      <c r="C766" t="s">
        <v>145</v>
      </c>
      <c r="D766" s="19">
        <v>7994.25</v>
      </c>
    </row>
    <row r="767" spans="1:4" x14ac:dyDescent="0.45">
      <c r="A767" s="25">
        <v>43282</v>
      </c>
      <c r="B767">
        <v>1001</v>
      </c>
      <c r="C767" t="s">
        <v>145</v>
      </c>
      <c r="D767" s="19">
        <v>65.45</v>
      </c>
    </row>
    <row r="768" spans="1:4" x14ac:dyDescent="0.45">
      <c r="A768" s="25">
        <v>43282</v>
      </c>
      <c r="B768">
        <v>1001</v>
      </c>
      <c r="C768" t="s">
        <v>97</v>
      </c>
      <c r="D768" s="19">
        <v>38419.15</v>
      </c>
    </row>
    <row r="769" spans="1:4" x14ac:dyDescent="0.45">
      <c r="A769" s="25">
        <v>43282</v>
      </c>
      <c r="B769">
        <v>1002</v>
      </c>
      <c r="C769" t="s">
        <v>104</v>
      </c>
      <c r="D769" s="19">
        <v>28905.525000000001</v>
      </c>
    </row>
    <row r="770" spans="1:4" x14ac:dyDescent="0.45">
      <c r="A770" s="25">
        <v>43282</v>
      </c>
      <c r="B770">
        <v>1002</v>
      </c>
      <c r="C770" t="s">
        <v>104</v>
      </c>
      <c r="D770" s="19">
        <v>10233.575000000001</v>
      </c>
    </row>
    <row r="771" spans="1:4" x14ac:dyDescent="0.45">
      <c r="A771" s="25">
        <v>43282</v>
      </c>
      <c r="B771">
        <v>1002</v>
      </c>
      <c r="C771" t="s">
        <v>104</v>
      </c>
      <c r="D771" s="19">
        <v>28251.025000000001</v>
      </c>
    </row>
    <row r="772" spans="1:4" x14ac:dyDescent="0.45">
      <c r="A772" s="25">
        <v>43282</v>
      </c>
      <c r="B772">
        <v>1001</v>
      </c>
      <c r="C772" t="s">
        <v>145</v>
      </c>
      <c r="D772" s="19">
        <v>30826.95</v>
      </c>
    </row>
    <row r="773" spans="1:4" x14ac:dyDescent="0.45">
      <c r="A773" s="25">
        <v>43282</v>
      </c>
      <c r="B773">
        <v>1002</v>
      </c>
      <c r="C773" t="s">
        <v>104</v>
      </c>
      <c r="D773" s="19">
        <v>25193.575000000001</v>
      </c>
    </row>
    <row r="774" spans="1:4" x14ac:dyDescent="0.45">
      <c r="A774" s="25">
        <v>43282</v>
      </c>
      <c r="B774">
        <v>1002</v>
      </c>
      <c r="C774" t="s">
        <v>104</v>
      </c>
      <c r="D774" s="19">
        <v>44440.55</v>
      </c>
    </row>
    <row r="775" spans="1:4" x14ac:dyDescent="0.45">
      <c r="A775" s="25">
        <v>43282</v>
      </c>
      <c r="B775">
        <v>1002</v>
      </c>
      <c r="C775" t="s">
        <v>104</v>
      </c>
      <c r="D775" s="19">
        <v>13132.075000000001</v>
      </c>
    </row>
    <row r="776" spans="1:4" x14ac:dyDescent="0.45">
      <c r="A776" s="25">
        <v>43282</v>
      </c>
      <c r="B776">
        <v>1002</v>
      </c>
      <c r="C776" t="s">
        <v>104</v>
      </c>
      <c r="D776" s="19">
        <v>14399</v>
      </c>
    </row>
    <row r="777" spans="1:4" x14ac:dyDescent="0.45">
      <c r="A777" s="25">
        <v>43282</v>
      </c>
      <c r="B777">
        <v>1002</v>
      </c>
      <c r="C777" t="s">
        <v>104</v>
      </c>
      <c r="D777" s="19">
        <v>26974.75</v>
      </c>
    </row>
    <row r="778" spans="1:4" x14ac:dyDescent="0.45">
      <c r="A778" s="25">
        <v>43282</v>
      </c>
      <c r="B778">
        <v>1001</v>
      </c>
      <c r="C778" t="s">
        <v>145</v>
      </c>
      <c r="D778" s="19">
        <v>11935.275</v>
      </c>
    </row>
    <row r="779" spans="1:4" x14ac:dyDescent="0.45">
      <c r="A779" s="25">
        <v>43282</v>
      </c>
      <c r="B779">
        <v>1002</v>
      </c>
      <c r="C779" t="s">
        <v>104</v>
      </c>
      <c r="D779" s="19">
        <v>15413.475</v>
      </c>
    </row>
    <row r="780" spans="1:4" x14ac:dyDescent="0.45">
      <c r="A780" s="25">
        <v>43313</v>
      </c>
      <c r="B780">
        <v>1002</v>
      </c>
      <c r="C780" t="s">
        <v>104</v>
      </c>
      <c r="D780" s="19">
        <v>39083</v>
      </c>
    </row>
    <row r="781" spans="1:4" x14ac:dyDescent="0.45">
      <c r="A781" s="25">
        <v>43313</v>
      </c>
      <c r="B781">
        <v>1001</v>
      </c>
      <c r="C781" t="s">
        <v>145</v>
      </c>
      <c r="D781" s="19">
        <v>30850.325000000001</v>
      </c>
    </row>
    <row r="782" spans="1:4" x14ac:dyDescent="0.45">
      <c r="A782" s="25">
        <v>43313</v>
      </c>
      <c r="B782">
        <v>1001</v>
      </c>
      <c r="C782" t="s">
        <v>97</v>
      </c>
      <c r="D782" s="19">
        <v>11640.75</v>
      </c>
    </row>
    <row r="783" spans="1:4" x14ac:dyDescent="0.45">
      <c r="A783" s="25">
        <v>43313</v>
      </c>
      <c r="B783">
        <v>1002</v>
      </c>
      <c r="C783" t="s">
        <v>104</v>
      </c>
      <c r="D783" s="19">
        <v>40854.824999999997</v>
      </c>
    </row>
    <row r="784" spans="1:4" x14ac:dyDescent="0.45">
      <c r="A784" s="25">
        <v>43313</v>
      </c>
      <c r="B784">
        <v>1001</v>
      </c>
      <c r="C784" t="s">
        <v>97</v>
      </c>
      <c r="D784" s="19">
        <v>31654.424999999999</v>
      </c>
    </row>
    <row r="785" spans="1:4" x14ac:dyDescent="0.45">
      <c r="A785" s="25">
        <v>43313</v>
      </c>
      <c r="B785">
        <v>1001</v>
      </c>
      <c r="C785" t="s">
        <v>97</v>
      </c>
      <c r="D785" s="19">
        <v>4955.5</v>
      </c>
    </row>
    <row r="786" spans="1:4" x14ac:dyDescent="0.45">
      <c r="A786" s="25">
        <v>43313</v>
      </c>
      <c r="B786">
        <v>1001</v>
      </c>
      <c r="C786" t="s">
        <v>145</v>
      </c>
      <c r="D786" s="19">
        <v>43846.824999999997</v>
      </c>
    </row>
    <row r="787" spans="1:4" x14ac:dyDescent="0.45">
      <c r="A787" s="25">
        <v>43313</v>
      </c>
      <c r="B787">
        <v>1001</v>
      </c>
      <c r="C787" t="s">
        <v>97</v>
      </c>
      <c r="D787" s="19">
        <v>40462.125</v>
      </c>
    </row>
    <row r="788" spans="1:4" x14ac:dyDescent="0.45">
      <c r="A788" s="25">
        <v>43313</v>
      </c>
      <c r="B788">
        <v>1001</v>
      </c>
      <c r="C788" t="s">
        <v>97</v>
      </c>
      <c r="D788" s="19">
        <v>14815.075000000001</v>
      </c>
    </row>
    <row r="789" spans="1:4" x14ac:dyDescent="0.45">
      <c r="A789" s="25">
        <v>43313</v>
      </c>
      <c r="B789">
        <v>1001</v>
      </c>
      <c r="C789" t="s">
        <v>97</v>
      </c>
      <c r="D789" s="19">
        <v>15422.825000000001</v>
      </c>
    </row>
    <row r="790" spans="1:4" x14ac:dyDescent="0.45">
      <c r="A790" s="25">
        <v>43313</v>
      </c>
      <c r="B790">
        <v>1002</v>
      </c>
      <c r="C790" t="s">
        <v>104</v>
      </c>
      <c r="D790" s="19">
        <v>33973.224999999999</v>
      </c>
    </row>
    <row r="791" spans="1:4" x14ac:dyDescent="0.45">
      <c r="A791" s="25">
        <v>43313</v>
      </c>
      <c r="B791">
        <v>1002</v>
      </c>
      <c r="C791" t="s">
        <v>104</v>
      </c>
      <c r="D791" s="19">
        <v>40214.35</v>
      </c>
    </row>
    <row r="792" spans="1:4" x14ac:dyDescent="0.45">
      <c r="A792" s="25">
        <v>43313</v>
      </c>
      <c r="B792">
        <v>1001</v>
      </c>
      <c r="C792" t="s">
        <v>97</v>
      </c>
      <c r="D792" s="19">
        <v>32397.75</v>
      </c>
    </row>
    <row r="793" spans="1:4" x14ac:dyDescent="0.45">
      <c r="A793" s="25">
        <v>43313</v>
      </c>
      <c r="B793">
        <v>1001</v>
      </c>
      <c r="C793" t="s">
        <v>97</v>
      </c>
      <c r="D793" s="19">
        <v>3655.85</v>
      </c>
    </row>
    <row r="794" spans="1:4" x14ac:dyDescent="0.45">
      <c r="A794" s="25">
        <v>43313</v>
      </c>
      <c r="B794">
        <v>1001</v>
      </c>
      <c r="C794" t="s">
        <v>97</v>
      </c>
      <c r="D794" s="19">
        <v>6442.15</v>
      </c>
    </row>
    <row r="795" spans="1:4" x14ac:dyDescent="0.45">
      <c r="A795" s="25">
        <v>43313</v>
      </c>
      <c r="B795">
        <v>1001</v>
      </c>
      <c r="C795" t="s">
        <v>97</v>
      </c>
      <c r="D795" s="19">
        <v>13038.575000000001</v>
      </c>
    </row>
    <row r="796" spans="1:4" x14ac:dyDescent="0.45">
      <c r="A796" s="25">
        <v>43313</v>
      </c>
      <c r="B796">
        <v>1001</v>
      </c>
      <c r="C796" t="s">
        <v>145</v>
      </c>
      <c r="D796" s="19">
        <v>34637.074999999997</v>
      </c>
    </row>
    <row r="797" spans="1:4" x14ac:dyDescent="0.45">
      <c r="A797" s="25">
        <v>43313</v>
      </c>
      <c r="B797">
        <v>1001</v>
      </c>
      <c r="C797" t="s">
        <v>145</v>
      </c>
      <c r="D797" s="19">
        <v>31004.6</v>
      </c>
    </row>
    <row r="798" spans="1:4" x14ac:dyDescent="0.45">
      <c r="A798" s="25">
        <v>43313</v>
      </c>
      <c r="B798">
        <v>1001</v>
      </c>
      <c r="C798" t="s">
        <v>145</v>
      </c>
      <c r="D798" s="19">
        <v>1912.075</v>
      </c>
    </row>
    <row r="799" spans="1:4" x14ac:dyDescent="0.45">
      <c r="A799" s="25">
        <v>43313</v>
      </c>
      <c r="B799">
        <v>1001</v>
      </c>
      <c r="C799" t="s">
        <v>145</v>
      </c>
      <c r="D799" s="19">
        <v>5268.7250000000004</v>
      </c>
    </row>
    <row r="800" spans="1:4" x14ac:dyDescent="0.45">
      <c r="A800" s="25">
        <v>43313</v>
      </c>
      <c r="B800">
        <v>1001</v>
      </c>
      <c r="C800" t="s">
        <v>97</v>
      </c>
      <c r="D800" s="19">
        <v>42477.05</v>
      </c>
    </row>
    <row r="801" spans="1:4" x14ac:dyDescent="0.45">
      <c r="A801" s="25">
        <v>43313</v>
      </c>
      <c r="B801">
        <v>1001</v>
      </c>
      <c r="C801" t="s">
        <v>97</v>
      </c>
      <c r="D801" s="19">
        <v>43496.2</v>
      </c>
    </row>
    <row r="802" spans="1:4" x14ac:dyDescent="0.45">
      <c r="A802" s="25">
        <v>43313</v>
      </c>
      <c r="B802">
        <v>1002</v>
      </c>
      <c r="C802" t="s">
        <v>104</v>
      </c>
      <c r="D802" s="19">
        <v>17905.25</v>
      </c>
    </row>
    <row r="803" spans="1:4" x14ac:dyDescent="0.45">
      <c r="A803" s="25">
        <v>43313</v>
      </c>
      <c r="B803">
        <v>1002</v>
      </c>
      <c r="C803" t="s">
        <v>104</v>
      </c>
      <c r="D803" s="19">
        <v>822.8</v>
      </c>
    </row>
    <row r="804" spans="1:4" x14ac:dyDescent="0.45">
      <c r="A804" s="25">
        <v>43344</v>
      </c>
      <c r="B804">
        <v>1002</v>
      </c>
      <c r="C804" t="s">
        <v>104</v>
      </c>
      <c r="D804" s="19">
        <v>45034.275000000001</v>
      </c>
    </row>
    <row r="805" spans="1:4" x14ac:dyDescent="0.45">
      <c r="A805" s="25">
        <v>43344</v>
      </c>
      <c r="B805">
        <v>1001</v>
      </c>
      <c r="C805" t="s">
        <v>97</v>
      </c>
      <c r="D805" s="19">
        <v>28774.625</v>
      </c>
    </row>
    <row r="806" spans="1:4" x14ac:dyDescent="0.45">
      <c r="A806" s="25">
        <v>43344</v>
      </c>
      <c r="B806">
        <v>1002</v>
      </c>
      <c r="C806" t="s">
        <v>104</v>
      </c>
      <c r="D806" s="19">
        <v>33557.15</v>
      </c>
    </row>
    <row r="807" spans="1:4" x14ac:dyDescent="0.45">
      <c r="A807" s="25">
        <v>43344</v>
      </c>
      <c r="B807">
        <v>1002</v>
      </c>
      <c r="C807" t="s">
        <v>104</v>
      </c>
      <c r="D807" s="19">
        <v>40083.449999999997</v>
      </c>
    </row>
    <row r="808" spans="1:4" x14ac:dyDescent="0.45">
      <c r="A808" s="25">
        <v>43344</v>
      </c>
      <c r="B808">
        <v>1001</v>
      </c>
      <c r="C808" t="s">
        <v>97</v>
      </c>
      <c r="D808" s="19">
        <v>3048.1</v>
      </c>
    </row>
    <row r="809" spans="1:4" x14ac:dyDescent="0.45">
      <c r="A809" s="25">
        <v>43344</v>
      </c>
      <c r="B809">
        <v>1001</v>
      </c>
      <c r="C809" t="s">
        <v>97</v>
      </c>
      <c r="D809" s="19">
        <v>24090.275000000001</v>
      </c>
    </row>
    <row r="810" spans="1:4" x14ac:dyDescent="0.45">
      <c r="A810" s="25">
        <v>43344</v>
      </c>
      <c r="B810">
        <v>1001</v>
      </c>
      <c r="C810" t="s">
        <v>97</v>
      </c>
      <c r="D810" s="19">
        <v>23454.474999999999</v>
      </c>
    </row>
    <row r="811" spans="1:4" x14ac:dyDescent="0.45">
      <c r="A811" s="25">
        <v>43344</v>
      </c>
      <c r="B811">
        <v>1001</v>
      </c>
      <c r="C811" t="s">
        <v>97</v>
      </c>
      <c r="D811" s="19">
        <v>39929.175000000003</v>
      </c>
    </row>
    <row r="812" spans="1:4" x14ac:dyDescent="0.45">
      <c r="A812" s="25">
        <v>43344</v>
      </c>
      <c r="B812">
        <v>1002</v>
      </c>
      <c r="C812" t="s">
        <v>104</v>
      </c>
      <c r="D812" s="19">
        <v>27834.95</v>
      </c>
    </row>
    <row r="813" spans="1:4" x14ac:dyDescent="0.45">
      <c r="A813" s="25">
        <v>43344</v>
      </c>
      <c r="B813">
        <v>1001</v>
      </c>
      <c r="C813" t="s">
        <v>97</v>
      </c>
      <c r="D813" s="19">
        <v>31771.3</v>
      </c>
    </row>
    <row r="814" spans="1:4" x14ac:dyDescent="0.45">
      <c r="A814" s="25">
        <v>43344</v>
      </c>
      <c r="B814">
        <v>1002</v>
      </c>
      <c r="C814" t="s">
        <v>104</v>
      </c>
      <c r="D814" s="19">
        <v>32659.55</v>
      </c>
    </row>
    <row r="815" spans="1:4" x14ac:dyDescent="0.45">
      <c r="A815" s="25">
        <v>43344</v>
      </c>
      <c r="B815">
        <v>1002</v>
      </c>
      <c r="C815" t="s">
        <v>104</v>
      </c>
      <c r="D815" s="19">
        <v>22556.875</v>
      </c>
    </row>
    <row r="816" spans="1:4" x14ac:dyDescent="0.45">
      <c r="A816" s="25">
        <v>43344</v>
      </c>
      <c r="B816">
        <v>1001</v>
      </c>
      <c r="C816" t="s">
        <v>97</v>
      </c>
      <c r="D816" s="19">
        <v>16086.674999999999</v>
      </c>
    </row>
    <row r="817" spans="1:4" x14ac:dyDescent="0.45">
      <c r="A817" s="25">
        <v>43344</v>
      </c>
      <c r="B817">
        <v>1001</v>
      </c>
      <c r="C817" t="s">
        <v>97</v>
      </c>
      <c r="D817" s="19">
        <v>45800.974999999999</v>
      </c>
    </row>
    <row r="818" spans="1:4" x14ac:dyDescent="0.45">
      <c r="A818" s="25">
        <v>43344</v>
      </c>
      <c r="B818">
        <v>1001</v>
      </c>
      <c r="C818" t="s">
        <v>97</v>
      </c>
      <c r="D818" s="19">
        <v>17755.650000000001</v>
      </c>
    </row>
    <row r="819" spans="1:4" x14ac:dyDescent="0.45">
      <c r="A819" s="25">
        <v>43344</v>
      </c>
      <c r="B819">
        <v>1001</v>
      </c>
      <c r="C819" t="s">
        <v>97</v>
      </c>
      <c r="D819" s="19">
        <v>16717.8</v>
      </c>
    </row>
    <row r="820" spans="1:4" x14ac:dyDescent="0.45">
      <c r="A820" s="25">
        <v>43344</v>
      </c>
      <c r="B820">
        <v>1002</v>
      </c>
      <c r="C820" t="s">
        <v>104</v>
      </c>
      <c r="D820" s="19">
        <v>29690.924999999999</v>
      </c>
    </row>
    <row r="821" spans="1:4" x14ac:dyDescent="0.45">
      <c r="A821" s="25">
        <v>43344</v>
      </c>
      <c r="B821">
        <v>1001</v>
      </c>
      <c r="C821" t="s">
        <v>97</v>
      </c>
      <c r="D821" s="19">
        <v>23043.075000000001</v>
      </c>
    </row>
    <row r="822" spans="1:4" x14ac:dyDescent="0.45">
      <c r="A822" s="25">
        <v>43344</v>
      </c>
      <c r="B822">
        <v>1002</v>
      </c>
      <c r="C822" t="s">
        <v>104</v>
      </c>
      <c r="D822" s="19">
        <v>13866.05</v>
      </c>
    </row>
    <row r="823" spans="1:4" x14ac:dyDescent="0.45">
      <c r="A823" s="25">
        <v>43344</v>
      </c>
      <c r="B823">
        <v>1001</v>
      </c>
      <c r="C823" t="s">
        <v>97</v>
      </c>
      <c r="D823" s="19">
        <v>45744.875</v>
      </c>
    </row>
    <row r="824" spans="1:4" x14ac:dyDescent="0.45">
      <c r="A824" s="25">
        <v>43344</v>
      </c>
      <c r="B824">
        <v>1001</v>
      </c>
      <c r="C824" t="s">
        <v>145</v>
      </c>
      <c r="D824" s="19">
        <v>19153.474999999999</v>
      </c>
    </row>
    <row r="825" spans="1:4" x14ac:dyDescent="0.45">
      <c r="A825" s="25">
        <v>43344</v>
      </c>
      <c r="B825">
        <v>1001</v>
      </c>
      <c r="C825" t="s">
        <v>145</v>
      </c>
      <c r="D825" s="19">
        <v>1785.85</v>
      </c>
    </row>
    <row r="826" spans="1:4" x14ac:dyDescent="0.45">
      <c r="A826" s="25">
        <v>43344</v>
      </c>
      <c r="B826">
        <v>1001</v>
      </c>
      <c r="C826" t="s">
        <v>145</v>
      </c>
      <c r="D826" s="19">
        <v>17110.5</v>
      </c>
    </row>
    <row r="827" spans="1:4" x14ac:dyDescent="0.45">
      <c r="A827" s="25">
        <v>43344</v>
      </c>
      <c r="B827">
        <v>1001</v>
      </c>
      <c r="C827" t="s">
        <v>145</v>
      </c>
      <c r="D827" s="19">
        <v>28629.7</v>
      </c>
    </row>
    <row r="828" spans="1:4" x14ac:dyDescent="0.45">
      <c r="A828" s="25">
        <v>43344</v>
      </c>
      <c r="B828">
        <v>1001</v>
      </c>
      <c r="C828" t="s">
        <v>145</v>
      </c>
      <c r="D828" s="19">
        <v>35497.275000000001</v>
      </c>
    </row>
    <row r="829" spans="1:4" x14ac:dyDescent="0.45">
      <c r="A829" s="25">
        <v>43344</v>
      </c>
      <c r="B829">
        <v>1001</v>
      </c>
      <c r="C829" t="s">
        <v>145</v>
      </c>
      <c r="D829" s="19">
        <v>21654.6</v>
      </c>
    </row>
    <row r="830" spans="1:4" x14ac:dyDescent="0.45">
      <c r="A830" s="25">
        <v>43344</v>
      </c>
      <c r="B830">
        <v>1001</v>
      </c>
      <c r="C830" t="s">
        <v>145</v>
      </c>
      <c r="D830" s="19">
        <v>39793.599999999999</v>
      </c>
    </row>
    <row r="831" spans="1:4" x14ac:dyDescent="0.45">
      <c r="A831" s="25">
        <v>43344</v>
      </c>
      <c r="B831">
        <v>1001</v>
      </c>
      <c r="C831" t="s">
        <v>97</v>
      </c>
      <c r="D831" s="19">
        <v>16058.625</v>
      </c>
    </row>
    <row r="832" spans="1:4" x14ac:dyDescent="0.45">
      <c r="A832" s="25">
        <v>43344</v>
      </c>
      <c r="B832">
        <v>1001</v>
      </c>
      <c r="C832" t="s">
        <v>97</v>
      </c>
      <c r="D832" s="19">
        <v>34417.35</v>
      </c>
    </row>
    <row r="833" spans="1:4" x14ac:dyDescent="0.45">
      <c r="A833" s="25">
        <v>43344</v>
      </c>
      <c r="B833">
        <v>1001</v>
      </c>
      <c r="C833" t="s">
        <v>97</v>
      </c>
      <c r="D833" s="19">
        <v>28540.875</v>
      </c>
    </row>
    <row r="834" spans="1:4" x14ac:dyDescent="0.45">
      <c r="A834" s="25">
        <v>43344</v>
      </c>
      <c r="B834">
        <v>1002</v>
      </c>
      <c r="C834" t="s">
        <v>104</v>
      </c>
      <c r="D834" s="19">
        <v>29910.65</v>
      </c>
    </row>
    <row r="835" spans="1:4" x14ac:dyDescent="0.45">
      <c r="A835" s="25">
        <v>43344</v>
      </c>
      <c r="B835">
        <v>1002</v>
      </c>
      <c r="C835" t="s">
        <v>104</v>
      </c>
      <c r="D835" s="19">
        <v>38213.449999999997</v>
      </c>
    </row>
    <row r="836" spans="1:4" x14ac:dyDescent="0.45">
      <c r="A836" s="25">
        <v>43374</v>
      </c>
      <c r="B836">
        <v>1001</v>
      </c>
      <c r="C836" t="s">
        <v>145</v>
      </c>
      <c r="D836" s="19">
        <v>5432.35</v>
      </c>
    </row>
    <row r="837" spans="1:4" x14ac:dyDescent="0.45">
      <c r="A837" s="25">
        <v>43374</v>
      </c>
      <c r="B837">
        <v>1001</v>
      </c>
      <c r="C837" t="s">
        <v>97</v>
      </c>
      <c r="D837" s="19">
        <v>28816.7</v>
      </c>
    </row>
    <row r="838" spans="1:4" x14ac:dyDescent="0.45">
      <c r="A838" s="25">
        <v>43374</v>
      </c>
      <c r="B838">
        <v>1001</v>
      </c>
      <c r="C838" t="s">
        <v>97</v>
      </c>
      <c r="D838" s="19">
        <v>18788.825000000001</v>
      </c>
    </row>
    <row r="839" spans="1:4" x14ac:dyDescent="0.45">
      <c r="A839" s="25">
        <v>43374</v>
      </c>
      <c r="B839">
        <v>1001</v>
      </c>
      <c r="C839" t="s">
        <v>145</v>
      </c>
      <c r="D839" s="19">
        <v>1977.5250000000001</v>
      </c>
    </row>
    <row r="840" spans="1:4" x14ac:dyDescent="0.45">
      <c r="A840" s="25">
        <v>43374</v>
      </c>
      <c r="B840">
        <v>1001</v>
      </c>
      <c r="C840" t="s">
        <v>145</v>
      </c>
      <c r="D840" s="19">
        <v>9331.2999999999993</v>
      </c>
    </row>
    <row r="841" spans="1:4" x14ac:dyDescent="0.45">
      <c r="A841" s="25">
        <v>43374</v>
      </c>
      <c r="B841">
        <v>1001</v>
      </c>
      <c r="C841" t="s">
        <v>145</v>
      </c>
      <c r="D841" s="19">
        <v>19681.75</v>
      </c>
    </row>
    <row r="842" spans="1:4" x14ac:dyDescent="0.45">
      <c r="A842" s="25">
        <v>43374</v>
      </c>
      <c r="B842">
        <v>1001</v>
      </c>
      <c r="C842" t="s">
        <v>145</v>
      </c>
      <c r="D842" s="19">
        <v>34866.15</v>
      </c>
    </row>
    <row r="843" spans="1:4" x14ac:dyDescent="0.45">
      <c r="A843" s="25">
        <v>43374</v>
      </c>
      <c r="B843">
        <v>1001</v>
      </c>
      <c r="C843" t="s">
        <v>145</v>
      </c>
      <c r="D843" s="19">
        <v>15362.05</v>
      </c>
    </row>
    <row r="844" spans="1:4" x14ac:dyDescent="0.45">
      <c r="A844" s="25">
        <v>43374</v>
      </c>
      <c r="B844">
        <v>1001</v>
      </c>
      <c r="C844" t="s">
        <v>145</v>
      </c>
      <c r="D844" s="19">
        <v>29625.474999999999</v>
      </c>
    </row>
    <row r="845" spans="1:4" x14ac:dyDescent="0.45">
      <c r="A845" s="25">
        <v>43374</v>
      </c>
      <c r="B845">
        <v>1001</v>
      </c>
      <c r="C845" t="s">
        <v>145</v>
      </c>
      <c r="D845" s="19">
        <v>34010.625</v>
      </c>
    </row>
    <row r="846" spans="1:4" x14ac:dyDescent="0.45">
      <c r="A846" s="25">
        <v>43374</v>
      </c>
      <c r="B846">
        <v>1001</v>
      </c>
      <c r="C846" t="s">
        <v>145</v>
      </c>
      <c r="D846" s="19">
        <v>26558.674999999999</v>
      </c>
    </row>
    <row r="847" spans="1:4" x14ac:dyDescent="0.45">
      <c r="A847" s="25">
        <v>43374</v>
      </c>
      <c r="B847">
        <v>1001</v>
      </c>
      <c r="C847" t="s">
        <v>145</v>
      </c>
      <c r="D847" s="19">
        <v>14095.125</v>
      </c>
    </row>
    <row r="848" spans="1:4" x14ac:dyDescent="0.45">
      <c r="A848" s="25">
        <v>43374</v>
      </c>
      <c r="B848">
        <v>1001</v>
      </c>
      <c r="C848" t="s">
        <v>97</v>
      </c>
      <c r="D848" s="19">
        <v>26530.625</v>
      </c>
    </row>
    <row r="849" spans="1:4" x14ac:dyDescent="0.45">
      <c r="A849" s="25">
        <v>43374</v>
      </c>
      <c r="B849">
        <v>1001</v>
      </c>
      <c r="C849" t="s">
        <v>97</v>
      </c>
      <c r="D849" s="19">
        <v>7863.35</v>
      </c>
    </row>
    <row r="850" spans="1:4" x14ac:dyDescent="0.45">
      <c r="A850" s="25">
        <v>43374</v>
      </c>
      <c r="B850">
        <v>1001</v>
      </c>
      <c r="C850" t="s">
        <v>97</v>
      </c>
      <c r="D850" s="19">
        <v>24641.924999999999</v>
      </c>
    </row>
    <row r="851" spans="1:4" x14ac:dyDescent="0.45">
      <c r="A851" s="25">
        <v>43374</v>
      </c>
      <c r="B851">
        <v>1001</v>
      </c>
      <c r="C851" t="s">
        <v>97</v>
      </c>
      <c r="D851" s="19">
        <v>10691.725</v>
      </c>
    </row>
    <row r="852" spans="1:4" x14ac:dyDescent="0.45">
      <c r="A852" s="25">
        <v>43374</v>
      </c>
      <c r="B852">
        <v>1001</v>
      </c>
      <c r="C852" t="s">
        <v>97</v>
      </c>
      <c r="D852" s="19">
        <v>112.2</v>
      </c>
    </row>
    <row r="853" spans="1:4" x14ac:dyDescent="0.45">
      <c r="A853" s="25">
        <v>43374</v>
      </c>
      <c r="B853">
        <v>1001</v>
      </c>
      <c r="C853" t="s">
        <v>97</v>
      </c>
      <c r="D853" s="19">
        <v>36853.025000000001</v>
      </c>
    </row>
    <row r="854" spans="1:4" x14ac:dyDescent="0.45">
      <c r="A854" s="25">
        <v>43374</v>
      </c>
      <c r="B854">
        <v>1001</v>
      </c>
      <c r="C854" t="s">
        <v>97</v>
      </c>
      <c r="D854" s="19">
        <v>44155.375</v>
      </c>
    </row>
    <row r="855" spans="1:4" x14ac:dyDescent="0.45">
      <c r="A855" s="25">
        <v>43374</v>
      </c>
      <c r="B855">
        <v>1001</v>
      </c>
      <c r="C855" t="s">
        <v>97</v>
      </c>
      <c r="D855" s="19">
        <v>30284.65</v>
      </c>
    </row>
    <row r="856" spans="1:4" x14ac:dyDescent="0.45">
      <c r="A856" s="25">
        <v>43374</v>
      </c>
      <c r="B856">
        <v>1001</v>
      </c>
      <c r="C856" t="s">
        <v>97</v>
      </c>
      <c r="D856" s="19">
        <v>42626.65</v>
      </c>
    </row>
    <row r="857" spans="1:4" x14ac:dyDescent="0.45">
      <c r="A857" s="25">
        <v>43374</v>
      </c>
      <c r="B857">
        <v>1002</v>
      </c>
      <c r="C857" t="s">
        <v>104</v>
      </c>
      <c r="D857" s="19">
        <v>26273.5</v>
      </c>
    </row>
    <row r="858" spans="1:4" x14ac:dyDescent="0.45">
      <c r="A858" s="25">
        <v>43374</v>
      </c>
      <c r="B858">
        <v>1002</v>
      </c>
      <c r="C858" t="s">
        <v>104</v>
      </c>
      <c r="D858" s="19">
        <v>41490.625</v>
      </c>
    </row>
    <row r="859" spans="1:4" x14ac:dyDescent="0.45">
      <c r="A859" s="25">
        <v>43374</v>
      </c>
      <c r="B859">
        <v>1002</v>
      </c>
      <c r="C859" t="s">
        <v>104</v>
      </c>
      <c r="D859" s="19">
        <v>35688.949999999997</v>
      </c>
    </row>
    <row r="860" spans="1:4" x14ac:dyDescent="0.45">
      <c r="A860" s="25">
        <v>43374</v>
      </c>
      <c r="B860">
        <v>1002</v>
      </c>
      <c r="C860" t="s">
        <v>104</v>
      </c>
      <c r="D860" s="19">
        <v>33384.175000000003</v>
      </c>
    </row>
    <row r="861" spans="1:4" x14ac:dyDescent="0.45">
      <c r="A861" s="25">
        <v>43374</v>
      </c>
      <c r="B861">
        <v>1002</v>
      </c>
      <c r="C861" t="s">
        <v>104</v>
      </c>
      <c r="D861" s="19">
        <v>20149.25</v>
      </c>
    </row>
    <row r="862" spans="1:4" x14ac:dyDescent="0.45">
      <c r="A862" s="25">
        <v>43374</v>
      </c>
      <c r="B862">
        <v>1002</v>
      </c>
      <c r="C862" t="s">
        <v>104</v>
      </c>
      <c r="D862" s="19">
        <v>35932.050000000003</v>
      </c>
    </row>
    <row r="863" spans="1:4" x14ac:dyDescent="0.45">
      <c r="A863" s="25">
        <v>43374</v>
      </c>
      <c r="B863">
        <v>1002</v>
      </c>
      <c r="C863" t="s">
        <v>104</v>
      </c>
      <c r="D863" s="19">
        <v>42346.15</v>
      </c>
    </row>
    <row r="864" spans="1:4" x14ac:dyDescent="0.45">
      <c r="A864" s="25">
        <v>43374</v>
      </c>
      <c r="B864">
        <v>1002</v>
      </c>
      <c r="C864" t="s">
        <v>104</v>
      </c>
      <c r="D864" s="19">
        <v>19059.974999999999</v>
      </c>
    </row>
    <row r="865" spans="1:4" x14ac:dyDescent="0.45">
      <c r="A865" s="25">
        <v>43374</v>
      </c>
      <c r="B865">
        <v>1001</v>
      </c>
      <c r="C865" t="s">
        <v>97</v>
      </c>
      <c r="D865" s="19">
        <v>46404.05</v>
      </c>
    </row>
    <row r="866" spans="1:4" x14ac:dyDescent="0.45">
      <c r="A866" s="25">
        <v>43374</v>
      </c>
      <c r="B866">
        <v>1001</v>
      </c>
      <c r="C866" t="s">
        <v>145</v>
      </c>
      <c r="D866" s="19">
        <v>663.85</v>
      </c>
    </row>
    <row r="867" spans="1:4" x14ac:dyDescent="0.45">
      <c r="A867" s="25">
        <v>43374</v>
      </c>
      <c r="B867">
        <v>1001</v>
      </c>
      <c r="C867" t="s">
        <v>145</v>
      </c>
      <c r="D867" s="19">
        <v>3478.2</v>
      </c>
    </row>
    <row r="868" spans="1:4" x14ac:dyDescent="0.45">
      <c r="A868" s="25">
        <v>43374</v>
      </c>
      <c r="B868">
        <v>1001</v>
      </c>
      <c r="C868" t="s">
        <v>145</v>
      </c>
      <c r="D868" s="19">
        <v>45670.074999999997</v>
      </c>
    </row>
    <row r="869" spans="1:4" x14ac:dyDescent="0.45">
      <c r="A869" s="25">
        <v>43374</v>
      </c>
      <c r="B869">
        <v>1001</v>
      </c>
      <c r="C869" t="s">
        <v>97</v>
      </c>
      <c r="D869" s="19">
        <v>45754.224999999999</v>
      </c>
    </row>
    <row r="870" spans="1:4" x14ac:dyDescent="0.45">
      <c r="A870" s="25">
        <v>43374</v>
      </c>
      <c r="B870">
        <v>1002</v>
      </c>
      <c r="C870" t="s">
        <v>104</v>
      </c>
      <c r="D870" s="19">
        <v>11089.1</v>
      </c>
    </row>
    <row r="871" spans="1:4" x14ac:dyDescent="0.45">
      <c r="A871" s="25">
        <v>43374</v>
      </c>
      <c r="B871">
        <v>1001</v>
      </c>
      <c r="C871" t="s">
        <v>145</v>
      </c>
      <c r="D871" s="19">
        <v>10023.200000000001</v>
      </c>
    </row>
    <row r="872" spans="1:4" x14ac:dyDescent="0.45">
      <c r="A872" s="25">
        <v>43374</v>
      </c>
      <c r="B872">
        <v>1001</v>
      </c>
      <c r="C872" t="s">
        <v>97</v>
      </c>
      <c r="D872" s="19">
        <v>23304.875</v>
      </c>
    </row>
    <row r="873" spans="1:4" x14ac:dyDescent="0.45">
      <c r="A873" s="25">
        <v>43374</v>
      </c>
      <c r="B873">
        <v>1002</v>
      </c>
      <c r="C873" t="s">
        <v>104</v>
      </c>
      <c r="D873" s="19">
        <v>11187.275</v>
      </c>
    </row>
    <row r="874" spans="1:4" x14ac:dyDescent="0.45">
      <c r="A874" s="25">
        <v>43374</v>
      </c>
      <c r="B874">
        <v>1001</v>
      </c>
      <c r="C874" t="s">
        <v>97</v>
      </c>
      <c r="D874" s="19">
        <v>13375.174999999999</v>
      </c>
    </row>
    <row r="875" spans="1:4" x14ac:dyDescent="0.45">
      <c r="A875" s="25">
        <v>43374</v>
      </c>
      <c r="B875">
        <v>1002</v>
      </c>
      <c r="C875" t="s">
        <v>104</v>
      </c>
      <c r="D875" s="19">
        <v>13538.8</v>
      </c>
    </row>
    <row r="876" spans="1:4" x14ac:dyDescent="0.45">
      <c r="A876" s="25">
        <v>43374</v>
      </c>
      <c r="B876">
        <v>1001</v>
      </c>
      <c r="C876" t="s">
        <v>97</v>
      </c>
      <c r="D876" s="19">
        <v>28751.25</v>
      </c>
    </row>
    <row r="877" spans="1:4" x14ac:dyDescent="0.45">
      <c r="A877" s="25">
        <v>43374</v>
      </c>
      <c r="B877">
        <v>1001</v>
      </c>
      <c r="C877" t="s">
        <v>97</v>
      </c>
      <c r="D877" s="19">
        <v>31462.75</v>
      </c>
    </row>
    <row r="878" spans="1:4" x14ac:dyDescent="0.45">
      <c r="A878" s="25">
        <v>43374</v>
      </c>
      <c r="B878">
        <v>1002</v>
      </c>
      <c r="C878" t="s">
        <v>104</v>
      </c>
      <c r="D878" s="19">
        <v>24707.375</v>
      </c>
    </row>
    <row r="879" spans="1:4" x14ac:dyDescent="0.45">
      <c r="A879" s="25">
        <v>43374</v>
      </c>
      <c r="B879">
        <v>1001</v>
      </c>
      <c r="C879" t="s">
        <v>145</v>
      </c>
      <c r="D879" s="19">
        <v>37442.074999999997</v>
      </c>
    </row>
    <row r="880" spans="1:4" x14ac:dyDescent="0.45">
      <c r="A880" s="25">
        <v>43374</v>
      </c>
      <c r="B880">
        <v>1001</v>
      </c>
      <c r="C880" t="s">
        <v>97</v>
      </c>
      <c r="D880" s="19">
        <v>2748.9</v>
      </c>
    </row>
    <row r="881" spans="1:4" x14ac:dyDescent="0.45">
      <c r="A881" s="25">
        <v>43374</v>
      </c>
      <c r="B881">
        <v>1001</v>
      </c>
      <c r="C881" t="s">
        <v>97</v>
      </c>
      <c r="D881" s="19">
        <v>28092.075000000001</v>
      </c>
    </row>
    <row r="882" spans="1:4" x14ac:dyDescent="0.45">
      <c r="A882" s="25">
        <v>43374</v>
      </c>
      <c r="B882">
        <v>1001</v>
      </c>
      <c r="C882" t="s">
        <v>97</v>
      </c>
      <c r="D882" s="19">
        <v>21453.575000000001</v>
      </c>
    </row>
    <row r="883" spans="1:4" x14ac:dyDescent="0.45">
      <c r="A883" s="25">
        <v>43374</v>
      </c>
      <c r="B883">
        <v>1002</v>
      </c>
      <c r="C883" t="s">
        <v>104</v>
      </c>
      <c r="D883" s="19">
        <v>38363.050000000003</v>
      </c>
    </row>
    <row r="884" spans="1:4" x14ac:dyDescent="0.45">
      <c r="A884" s="25">
        <v>43374</v>
      </c>
      <c r="B884">
        <v>1002</v>
      </c>
      <c r="C884" t="s">
        <v>104</v>
      </c>
      <c r="D884" s="19">
        <v>45670.074999999997</v>
      </c>
    </row>
    <row r="885" spans="1:4" x14ac:dyDescent="0.45">
      <c r="A885" s="25">
        <v>43374</v>
      </c>
      <c r="B885">
        <v>1001</v>
      </c>
      <c r="C885" t="s">
        <v>97</v>
      </c>
      <c r="D885" s="19">
        <v>28933.575000000001</v>
      </c>
    </row>
    <row r="886" spans="1:4" x14ac:dyDescent="0.45">
      <c r="A886" s="25">
        <v>43374</v>
      </c>
      <c r="B886">
        <v>1002</v>
      </c>
      <c r="C886" t="s">
        <v>104</v>
      </c>
      <c r="D886" s="19">
        <v>2496.4499999999998</v>
      </c>
    </row>
    <row r="887" spans="1:4" x14ac:dyDescent="0.45">
      <c r="A887" s="25">
        <v>43374</v>
      </c>
      <c r="B887">
        <v>1001</v>
      </c>
      <c r="C887" t="s">
        <v>145</v>
      </c>
      <c r="D887" s="19">
        <v>12884.3</v>
      </c>
    </row>
    <row r="888" spans="1:4" x14ac:dyDescent="0.45">
      <c r="A888" s="25">
        <v>43374</v>
      </c>
      <c r="B888">
        <v>1001</v>
      </c>
      <c r="C888" t="s">
        <v>145</v>
      </c>
      <c r="D888" s="19">
        <v>13524.775</v>
      </c>
    </row>
    <row r="889" spans="1:4" x14ac:dyDescent="0.45">
      <c r="A889" s="25">
        <v>43374</v>
      </c>
      <c r="B889">
        <v>1001</v>
      </c>
      <c r="C889" t="s">
        <v>97</v>
      </c>
      <c r="D889" s="19">
        <v>42004.875</v>
      </c>
    </row>
    <row r="890" spans="1:4" x14ac:dyDescent="0.45">
      <c r="A890" s="25">
        <v>43374</v>
      </c>
      <c r="B890">
        <v>1002</v>
      </c>
      <c r="C890" t="s">
        <v>104</v>
      </c>
      <c r="D890" s="19">
        <v>34679.15</v>
      </c>
    </row>
    <row r="891" spans="1:4" x14ac:dyDescent="0.45">
      <c r="A891" s="25">
        <v>43374</v>
      </c>
      <c r="B891">
        <v>1002</v>
      </c>
      <c r="C891" t="s">
        <v>104</v>
      </c>
      <c r="D891" s="19">
        <v>41523.35</v>
      </c>
    </row>
    <row r="892" spans="1:4" x14ac:dyDescent="0.45">
      <c r="A892" s="25">
        <v>43374</v>
      </c>
      <c r="B892">
        <v>1001</v>
      </c>
      <c r="C892" t="s">
        <v>97</v>
      </c>
      <c r="D892" s="19">
        <v>4978.875</v>
      </c>
    </row>
    <row r="893" spans="1:4" x14ac:dyDescent="0.45">
      <c r="A893" s="25">
        <v>43374</v>
      </c>
      <c r="B893">
        <v>1001</v>
      </c>
      <c r="C893" t="s">
        <v>97</v>
      </c>
      <c r="D893" s="19">
        <v>24482.974999999999</v>
      </c>
    </row>
    <row r="894" spans="1:4" x14ac:dyDescent="0.45">
      <c r="A894" s="25">
        <v>43374</v>
      </c>
      <c r="B894">
        <v>1002</v>
      </c>
      <c r="C894" t="s">
        <v>104</v>
      </c>
      <c r="D894" s="19">
        <v>15114.275</v>
      </c>
    </row>
    <row r="895" spans="1:4" x14ac:dyDescent="0.45">
      <c r="A895" s="25">
        <v>43405</v>
      </c>
      <c r="B895">
        <v>1001</v>
      </c>
      <c r="C895" t="s">
        <v>97</v>
      </c>
      <c r="D895" s="19">
        <v>29807.8</v>
      </c>
    </row>
    <row r="896" spans="1:4" x14ac:dyDescent="0.45">
      <c r="A896" s="25">
        <v>43405</v>
      </c>
      <c r="B896">
        <v>1001</v>
      </c>
      <c r="C896" t="s">
        <v>97</v>
      </c>
      <c r="D896" s="19">
        <v>30410.875</v>
      </c>
    </row>
    <row r="897" spans="1:4" x14ac:dyDescent="0.45">
      <c r="A897" s="25">
        <v>43405</v>
      </c>
      <c r="B897">
        <v>1001</v>
      </c>
      <c r="C897" t="s">
        <v>97</v>
      </c>
      <c r="D897" s="19">
        <v>18798.174999999999</v>
      </c>
    </row>
    <row r="898" spans="1:4" x14ac:dyDescent="0.45">
      <c r="A898" s="25">
        <v>43405</v>
      </c>
      <c r="B898">
        <v>1002</v>
      </c>
      <c r="C898" t="s">
        <v>104</v>
      </c>
      <c r="D898" s="19">
        <v>15329.325000000001</v>
      </c>
    </row>
    <row r="899" spans="1:4" x14ac:dyDescent="0.45">
      <c r="A899" s="25">
        <v>43405</v>
      </c>
      <c r="B899">
        <v>1002</v>
      </c>
      <c r="C899" t="s">
        <v>104</v>
      </c>
      <c r="D899" s="19">
        <v>19218.924999999999</v>
      </c>
    </row>
    <row r="900" spans="1:4" x14ac:dyDescent="0.45">
      <c r="A900" s="25">
        <v>43405</v>
      </c>
      <c r="B900">
        <v>1002</v>
      </c>
      <c r="C900" t="s">
        <v>104</v>
      </c>
      <c r="D900" s="19">
        <v>40579</v>
      </c>
    </row>
    <row r="901" spans="1:4" x14ac:dyDescent="0.45">
      <c r="A901" s="25">
        <v>43405</v>
      </c>
      <c r="B901">
        <v>1001</v>
      </c>
      <c r="C901" t="s">
        <v>97</v>
      </c>
      <c r="D901" s="19">
        <v>33080.300000000003</v>
      </c>
    </row>
    <row r="902" spans="1:4" x14ac:dyDescent="0.45">
      <c r="A902" s="25">
        <v>43405</v>
      </c>
      <c r="B902">
        <v>1001</v>
      </c>
      <c r="C902" t="s">
        <v>97</v>
      </c>
      <c r="D902" s="19">
        <v>79.474999999999994</v>
      </c>
    </row>
    <row r="903" spans="1:4" x14ac:dyDescent="0.45">
      <c r="A903" s="25">
        <v>43405</v>
      </c>
      <c r="B903">
        <v>1001</v>
      </c>
      <c r="C903" t="s">
        <v>145</v>
      </c>
      <c r="D903" s="19">
        <v>22589.599999999999</v>
      </c>
    </row>
    <row r="904" spans="1:4" x14ac:dyDescent="0.45">
      <c r="A904" s="25">
        <v>43405</v>
      </c>
      <c r="B904">
        <v>1001</v>
      </c>
      <c r="C904" t="s">
        <v>145</v>
      </c>
      <c r="D904" s="19">
        <v>28269.724999999999</v>
      </c>
    </row>
    <row r="905" spans="1:4" x14ac:dyDescent="0.45">
      <c r="A905" s="25">
        <v>43405</v>
      </c>
      <c r="B905">
        <v>1001</v>
      </c>
      <c r="C905" t="s">
        <v>145</v>
      </c>
      <c r="D905" s="19">
        <v>37488.824999999997</v>
      </c>
    </row>
    <row r="906" spans="1:4" x14ac:dyDescent="0.45">
      <c r="A906" s="25">
        <v>43405</v>
      </c>
      <c r="B906">
        <v>1001</v>
      </c>
      <c r="C906" t="s">
        <v>145</v>
      </c>
      <c r="D906" s="19">
        <v>29681.575000000001</v>
      </c>
    </row>
    <row r="907" spans="1:4" x14ac:dyDescent="0.45">
      <c r="A907" s="25">
        <v>43405</v>
      </c>
      <c r="B907">
        <v>1001</v>
      </c>
      <c r="C907" t="s">
        <v>97</v>
      </c>
      <c r="D907" s="19">
        <v>42458.35</v>
      </c>
    </row>
    <row r="908" spans="1:4" x14ac:dyDescent="0.45">
      <c r="A908" s="25">
        <v>43405</v>
      </c>
      <c r="B908">
        <v>1001</v>
      </c>
      <c r="C908" t="s">
        <v>97</v>
      </c>
      <c r="D908" s="19">
        <v>27185.125</v>
      </c>
    </row>
    <row r="909" spans="1:4" x14ac:dyDescent="0.45">
      <c r="A909" s="25">
        <v>43405</v>
      </c>
      <c r="B909">
        <v>1001</v>
      </c>
      <c r="C909" t="s">
        <v>97</v>
      </c>
      <c r="D909" s="19">
        <v>24529.724999999999</v>
      </c>
    </row>
    <row r="910" spans="1:4" x14ac:dyDescent="0.45">
      <c r="A910" s="25">
        <v>43405</v>
      </c>
      <c r="B910">
        <v>1001</v>
      </c>
      <c r="C910" t="s">
        <v>97</v>
      </c>
      <c r="D910" s="19">
        <v>34422.025000000001</v>
      </c>
    </row>
    <row r="911" spans="1:4" x14ac:dyDescent="0.45">
      <c r="A911" s="25">
        <v>43405</v>
      </c>
      <c r="B911">
        <v>1001</v>
      </c>
      <c r="C911" t="s">
        <v>97</v>
      </c>
      <c r="D911" s="19">
        <v>2000.9</v>
      </c>
    </row>
    <row r="912" spans="1:4" x14ac:dyDescent="0.45">
      <c r="A912" s="25">
        <v>43405</v>
      </c>
      <c r="B912">
        <v>1001</v>
      </c>
      <c r="C912" t="s">
        <v>97</v>
      </c>
      <c r="D912" s="19">
        <v>2847.0749999999998</v>
      </c>
    </row>
    <row r="913" spans="1:4" x14ac:dyDescent="0.45">
      <c r="A913" s="25">
        <v>43405</v>
      </c>
      <c r="B913">
        <v>1001</v>
      </c>
      <c r="C913" t="s">
        <v>97</v>
      </c>
      <c r="D913" s="19">
        <v>14146.55</v>
      </c>
    </row>
    <row r="914" spans="1:4" x14ac:dyDescent="0.45">
      <c r="A914" s="25">
        <v>43405</v>
      </c>
      <c r="B914">
        <v>1001</v>
      </c>
      <c r="C914" t="s">
        <v>97</v>
      </c>
      <c r="D914" s="19">
        <v>26072.474999999999</v>
      </c>
    </row>
    <row r="915" spans="1:4" x14ac:dyDescent="0.45">
      <c r="A915" s="25">
        <v>43405</v>
      </c>
      <c r="B915">
        <v>1001</v>
      </c>
      <c r="C915" t="s">
        <v>97</v>
      </c>
      <c r="D915" s="19">
        <v>5857.7749999999996</v>
      </c>
    </row>
    <row r="916" spans="1:4" x14ac:dyDescent="0.45">
      <c r="A916" s="25">
        <v>43405</v>
      </c>
      <c r="B916">
        <v>1001</v>
      </c>
      <c r="C916" t="s">
        <v>97</v>
      </c>
      <c r="D916" s="19">
        <v>32739.025000000001</v>
      </c>
    </row>
    <row r="917" spans="1:4" x14ac:dyDescent="0.45">
      <c r="A917" s="25">
        <v>43405</v>
      </c>
      <c r="B917">
        <v>1002</v>
      </c>
      <c r="C917" t="s">
        <v>104</v>
      </c>
      <c r="D917" s="19">
        <v>1706.375</v>
      </c>
    </row>
    <row r="918" spans="1:4" x14ac:dyDescent="0.45">
      <c r="A918" s="25">
        <v>43405</v>
      </c>
      <c r="B918">
        <v>1001</v>
      </c>
      <c r="C918" t="s">
        <v>97</v>
      </c>
      <c r="D918" s="19">
        <v>23875.224999999999</v>
      </c>
    </row>
    <row r="919" spans="1:4" x14ac:dyDescent="0.45">
      <c r="A919" s="25">
        <v>43405</v>
      </c>
      <c r="B919">
        <v>1002</v>
      </c>
      <c r="C919" t="s">
        <v>104</v>
      </c>
      <c r="D919" s="19">
        <v>3637.15</v>
      </c>
    </row>
    <row r="920" spans="1:4" x14ac:dyDescent="0.45">
      <c r="A920" s="25">
        <v>43435</v>
      </c>
      <c r="B920">
        <v>1001</v>
      </c>
      <c r="C920" t="s">
        <v>145</v>
      </c>
      <c r="D920" s="19">
        <v>25969.625</v>
      </c>
    </row>
    <row r="921" spans="1:4" x14ac:dyDescent="0.45">
      <c r="A921" s="25">
        <v>43435</v>
      </c>
      <c r="B921">
        <v>1001</v>
      </c>
      <c r="C921" t="s">
        <v>145</v>
      </c>
      <c r="D921" s="19">
        <v>24833.599999999999</v>
      </c>
    </row>
    <row r="922" spans="1:4" x14ac:dyDescent="0.45">
      <c r="A922" s="25">
        <v>43435</v>
      </c>
      <c r="B922">
        <v>1001</v>
      </c>
      <c r="C922" t="s">
        <v>145</v>
      </c>
      <c r="D922" s="19">
        <v>8307.4750000000004</v>
      </c>
    </row>
    <row r="923" spans="1:4" x14ac:dyDescent="0.45">
      <c r="A923" s="25">
        <v>43435</v>
      </c>
      <c r="B923">
        <v>1001</v>
      </c>
      <c r="C923" t="s">
        <v>97</v>
      </c>
      <c r="D923" s="19">
        <v>12809.5</v>
      </c>
    </row>
    <row r="924" spans="1:4" x14ac:dyDescent="0.45">
      <c r="A924" s="25">
        <v>43435</v>
      </c>
      <c r="B924">
        <v>1001</v>
      </c>
      <c r="C924" t="s">
        <v>97</v>
      </c>
      <c r="D924" s="19">
        <v>9041.4500000000007</v>
      </c>
    </row>
    <row r="925" spans="1:4" x14ac:dyDescent="0.45">
      <c r="A925" s="25">
        <v>43435</v>
      </c>
      <c r="B925">
        <v>1001</v>
      </c>
      <c r="C925" t="s">
        <v>97</v>
      </c>
      <c r="D925" s="19">
        <v>46665.85</v>
      </c>
    </row>
    <row r="926" spans="1:4" x14ac:dyDescent="0.45">
      <c r="A926" s="25">
        <v>43435</v>
      </c>
      <c r="B926">
        <v>1001</v>
      </c>
      <c r="C926" t="s">
        <v>97</v>
      </c>
      <c r="D926" s="19">
        <v>22575.575000000001</v>
      </c>
    </row>
    <row r="927" spans="1:4" x14ac:dyDescent="0.45">
      <c r="A927" s="25">
        <v>43435</v>
      </c>
      <c r="B927">
        <v>1001</v>
      </c>
      <c r="C927" t="s">
        <v>97</v>
      </c>
      <c r="D927" s="19">
        <v>40864.175000000003</v>
      </c>
    </row>
    <row r="928" spans="1:4" x14ac:dyDescent="0.45">
      <c r="A928" s="25">
        <v>43435</v>
      </c>
      <c r="B928">
        <v>1001</v>
      </c>
      <c r="C928" t="s">
        <v>97</v>
      </c>
      <c r="D928" s="19">
        <v>41747.75</v>
      </c>
    </row>
    <row r="929" spans="1:4" x14ac:dyDescent="0.45">
      <c r="A929" s="25">
        <v>43435</v>
      </c>
      <c r="B929">
        <v>1001</v>
      </c>
      <c r="C929" t="s">
        <v>97</v>
      </c>
      <c r="D929" s="19">
        <v>39690.75</v>
      </c>
    </row>
    <row r="930" spans="1:4" x14ac:dyDescent="0.45">
      <c r="A930" s="25">
        <v>43435</v>
      </c>
      <c r="B930">
        <v>1002</v>
      </c>
      <c r="C930" t="s">
        <v>104</v>
      </c>
      <c r="D930" s="19">
        <v>12201.75</v>
      </c>
    </row>
    <row r="931" spans="1:4" x14ac:dyDescent="0.45">
      <c r="A931" s="25">
        <v>43435</v>
      </c>
      <c r="B931">
        <v>1002</v>
      </c>
      <c r="C931" t="s">
        <v>104</v>
      </c>
      <c r="D931" s="19">
        <v>21275.924999999999</v>
      </c>
    </row>
    <row r="932" spans="1:4" x14ac:dyDescent="0.45">
      <c r="A932" s="25">
        <v>43435</v>
      </c>
      <c r="B932">
        <v>1002</v>
      </c>
      <c r="C932" t="s">
        <v>104</v>
      </c>
      <c r="D932" s="19">
        <v>33094.324999999997</v>
      </c>
    </row>
    <row r="933" spans="1:4" x14ac:dyDescent="0.45">
      <c r="A933" s="25">
        <v>43435</v>
      </c>
      <c r="B933">
        <v>1002</v>
      </c>
      <c r="C933" t="s">
        <v>104</v>
      </c>
      <c r="D933" s="19">
        <v>37021.324999999997</v>
      </c>
    </row>
    <row r="934" spans="1:4" x14ac:dyDescent="0.45">
      <c r="A934" s="25">
        <v>43435</v>
      </c>
      <c r="B934">
        <v>1002</v>
      </c>
      <c r="C934" t="s">
        <v>104</v>
      </c>
      <c r="D934" s="19">
        <v>43150.25</v>
      </c>
    </row>
    <row r="935" spans="1:4" x14ac:dyDescent="0.45">
      <c r="A935" s="25">
        <v>43435</v>
      </c>
      <c r="B935">
        <v>1001</v>
      </c>
      <c r="C935" t="s">
        <v>97</v>
      </c>
      <c r="D935" s="19">
        <v>29391.724999999999</v>
      </c>
    </row>
    <row r="936" spans="1:4" x14ac:dyDescent="0.45">
      <c r="A936" s="25">
        <v>43435</v>
      </c>
      <c r="B936">
        <v>1001</v>
      </c>
      <c r="C936" t="s">
        <v>97</v>
      </c>
      <c r="D936" s="19">
        <v>5469.75</v>
      </c>
    </row>
    <row r="937" spans="1:4" x14ac:dyDescent="0.45">
      <c r="A937" s="25">
        <v>43435</v>
      </c>
      <c r="B937">
        <v>1002</v>
      </c>
      <c r="C937" t="s">
        <v>104</v>
      </c>
      <c r="D937" s="19">
        <v>33056.925000000003</v>
      </c>
    </row>
    <row r="938" spans="1:4" x14ac:dyDescent="0.45">
      <c r="A938" s="25">
        <v>43435</v>
      </c>
      <c r="B938">
        <v>1001</v>
      </c>
      <c r="C938" t="s">
        <v>145</v>
      </c>
      <c r="D938" s="19">
        <v>43846.824999999997</v>
      </c>
    </row>
    <row r="939" spans="1:4" x14ac:dyDescent="0.45">
      <c r="A939" s="25">
        <v>43435</v>
      </c>
      <c r="B939">
        <v>1001</v>
      </c>
      <c r="C939" t="s">
        <v>97</v>
      </c>
      <c r="D939" s="19">
        <v>24235.200000000001</v>
      </c>
    </row>
    <row r="940" spans="1:4" x14ac:dyDescent="0.45">
      <c r="A940" s="25">
        <v>43435</v>
      </c>
      <c r="B940">
        <v>1002</v>
      </c>
      <c r="C940" t="s">
        <v>104</v>
      </c>
      <c r="D940" s="19">
        <v>2183.2249999999999</v>
      </c>
    </row>
    <row r="941" spans="1:4" x14ac:dyDescent="0.45">
      <c r="A941" s="25">
        <v>43435</v>
      </c>
      <c r="B941">
        <v>1002</v>
      </c>
      <c r="C941" t="s">
        <v>104</v>
      </c>
      <c r="D941" s="19">
        <v>39989.949999999997</v>
      </c>
    </row>
    <row r="942" spans="1:4" x14ac:dyDescent="0.45">
      <c r="A942" s="25">
        <v>43435</v>
      </c>
      <c r="B942">
        <v>1001</v>
      </c>
      <c r="C942" t="s">
        <v>97</v>
      </c>
      <c r="D942" s="19">
        <v>3997.125</v>
      </c>
    </row>
    <row r="943" spans="1:4" x14ac:dyDescent="0.45">
      <c r="A943" s="25">
        <v>43435</v>
      </c>
      <c r="B943">
        <v>1001</v>
      </c>
      <c r="C943" t="s">
        <v>97</v>
      </c>
      <c r="D943" s="19">
        <v>46679.875</v>
      </c>
    </row>
    <row r="944" spans="1:4" x14ac:dyDescent="0.45">
      <c r="A944" s="25">
        <v>43435</v>
      </c>
      <c r="B944">
        <v>1001</v>
      </c>
      <c r="C944" t="s">
        <v>145</v>
      </c>
      <c r="D944" s="19">
        <v>37731.925000000003</v>
      </c>
    </row>
    <row r="945" spans="1:4" x14ac:dyDescent="0.45">
      <c r="A945" s="25">
        <v>43435</v>
      </c>
      <c r="B945">
        <v>1002</v>
      </c>
      <c r="C945" t="s">
        <v>104</v>
      </c>
      <c r="D945" s="19">
        <v>46226.400000000001</v>
      </c>
    </row>
    <row r="946" spans="1:4" x14ac:dyDescent="0.45">
      <c r="A946" s="25">
        <v>43435</v>
      </c>
      <c r="B946">
        <v>1001</v>
      </c>
      <c r="C946" t="s">
        <v>97</v>
      </c>
      <c r="D946" s="19">
        <v>11565.95</v>
      </c>
    </row>
    <row r="947" spans="1:4" x14ac:dyDescent="0.45">
      <c r="A947" s="25">
        <v>43435</v>
      </c>
      <c r="B947">
        <v>1001</v>
      </c>
      <c r="C947" t="s">
        <v>97</v>
      </c>
      <c r="D947" s="19">
        <v>15291.924999999999</v>
      </c>
    </row>
    <row r="948" spans="1:4" x14ac:dyDescent="0.45">
      <c r="A948" s="25">
        <v>43435</v>
      </c>
      <c r="B948">
        <v>1001</v>
      </c>
      <c r="C948" t="s">
        <v>97</v>
      </c>
      <c r="D948" s="19">
        <v>1748.45</v>
      </c>
    </row>
    <row r="949" spans="1:4" x14ac:dyDescent="0.45">
      <c r="A949" s="25">
        <v>43435</v>
      </c>
      <c r="B949">
        <v>1001</v>
      </c>
      <c r="C949" t="s">
        <v>145</v>
      </c>
      <c r="D949" s="19">
        <v>22070.674999999999</v>
      </c>
    </row>
    <row r="950" spans="1:4" x14ac:dyDescent="0.45">
      <c r="A950" s="25">
        <v>43435</v>
      </c>
      <c r="B950">
        <v>1001</v>
      </c>
      <c r="C950" t="s">
        <v>97</v>
      </c>
      <c r="D950" s="19">
        <v>16236.275</v>
      </c>
    </row>
    <row r="951" spans="1:4" x14ac:dyDescent="0.45">
      <c r="A951" s="25">
        <v>43435</v>
      </c>
      <c r="B951">
        <v>1001</v>
      </c>
      <c r="C951" t="s">
        <v>97</v>
      </c>
      <c r="D951" s="19">
        <v>13328.424999999999</v>
      </c>
    </row>
    <row r="952" spans="1:4" x14ac:dyDescent="0.45">
      <c r="A952" s="25">
        <v>43435</v>
      </c>
      <c r="B952">
        <v>1001</v>
      </c>
      <c r="C952" t="s">
        <v>97</v>
      </c>
      <c r="D952" s="19">
        <v>2099.0749999999998</v>
      </c>
    </row>
    <row r="953" spans="1:4" x14ac:dyDescent="0.45">
      <c r="A953" s="25">
        <v>43435</v>
      </c>
      <c r="B953">
        <v>1002</v>
      </c>
      <c r="C953" t="s">
        <v>104</v>
      </c>
      <c r="D953" s="19">
        <v>29087.85</v>
      </c>
    </row>
    <row r="954" spans="1:4" x14ac:dyDescent="0.45">
      <c r="A954" s="25">
        <v>43435</v>
      </c>
      <c r="B954">
        <v>1002</v>
      </c>
      <c r="C954" t="s">
        <v>104</v>
      </c>
      <c r="D954" s="19">
        <v>32374.375</v>
      </c>
    </row>
    <row r="955" spans="1:4" x14ac:dyDescent="0.45">
      <c r="A955" s="25">
        <v>43435</v>
      </c>
      <c r="B955">
        <v>1001</v>
      </c>
      <c r="C955" t="s">
        <v>97</v>
      </c>
      <c r="D955" s="19">
        <v>21037.5</v>
      </c>
    </row>
  </sheetData>
  <pageMargins left="0.7" right="0.7" top="0.75" bottom="0.75" header="0.3" footer="0.3"/>
  <tableParts count="1">
    <tablePart r:id="rId1"/>
  </tablePar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AA45EBA-CFC2-4040-8AB8-8E91798CDE91}">
  <sheetPr codeName="Sheet7">
    <tabColor rgb="FF92D050"/>
  </sheetPr>
  <dimension ref="A1:D955"/>
  <sheetViews>
    <sheetView showGridLines="0" zoomScale="90" zoomScaleNormal="90" workbookViewId="0"/>
  </sheetViews>
  <sheetFormatPr defaultRowHeight="14.25" x14ac:dyDescent="0.45"/>
  <cols>
    <col min="1" max="1" width="10.3984375" bestFit="1" customWidth="1"/>
    <col min="2" max="2" width="13.265625" bestFit="1" customWidth="1"/>
    <col min="3" max="3" width="43.73046875" bestFit="1" customWidth="1"/>
    <col min="4" max="4" width="12.1328125" bestFit="1" customWidth="1"/>
  </cols>
  <sheetData>
    <row r="1" spans="1:4" x14ac:dyDescent="0.45">
      <c r="A1" t="s">
        <v>213</v>
      </c>
      <c r="B1" t="s">
        <v>208</v>
      </c>
      <c r="C1" t="s">
        <v>76</v>
      </c>
      <c r="D1" t="s">
        <v>211</v>
      </c>
    </row>
    <row r="2" spans="1:4" x14ac:dyDescent="0.45">
      <c r="A2" s="25">
        <v>43101</v>
      </c>
      <c r="B2">
        <v>2001</v>
      </c>
      <c r="C2" t="s">
        <v>22</v>
      </c>
      <c r="D2" s="19">
        <v>-379</v>
      </c>
    </row>
    <row r="3" spans="1:4" x14ac:dyDescent="0.45">
      <c r="A3" s="25">
        <v>43101</v>
      </c>
      <c r="B3">
        <v>2002</v>
      </c>
      <c r="C3" t="s">
        <v>23</v>
      </c>
      <c r="D3" s="19">
        <v>-750</v>
      </c>
    </row>
    <row r="4" spans="1:4" x14ac:dyDescent="0.45">
      <c r="A4" s="25">
        <v>43101</v>
      </c>
      <c r="B4">
        <v>2003</v>
      </c>
      <c r="C4" t="s">
        <v>24</v>
      </c>
      <c r="D4" s="19">
        <v>-484</v>
      </c>
    </row>
    <row r="5" spans="1:4" x14ac:dyDescent="0.45">
      <c r="A5" s="25">
        <v>43101</v>
      </c>
      <c r="B5">
        <v>2004</v>
      </c>
      <c r="C5" t="s">
        <v>25</v>
      </c>
      <c r="D5" s="19">
        <v>-154</v>
      </c>
    </row>
    <row r="6" spans="1:4" x14ac:dyDescent="0.45">
      <c r="A6" s="25">
        <v>43101</v>
      </c>
      <c r="B6">
        <v>2005</v>
      </c>
      <c r="C6" t="s">
        <v>26</v>
      </c>
      <c r="D6" s="19">
        <v>-199</v>
      </c>
    </row>
    <row r="7" spans="1:4" x14ac:dyDescent="0.45">
      <c r="A7" s="25">
        <v>43101</v>
      </c>
      <c r="B7">
        <v>2006</v>
      </c>
      <c r="C7" t="s">
        <v>27</v>
      </c>
      <c r="D7" s="19">
        <v>-245</v>
      </c>
    </row>
    <row r="8" spans="1:4" x14ac:dyDescent="0.45">
      <c r="A8" s="25">
        <v>43101</v>
      </c>
      <c r="B8">
        <v>2007</v>
      </c>
      <c r="C8" t="s">
        <v>28</v>
      </c>
      <c r="D8" s="19">
        <v>-575</v>
      </c>
    </row>
    <row r="9" spans="1:4" x14ac:dyDescent="0.45">
      <c r="A9" s="25">
        <v>43101</v>
      </c>
      <c r="B9">
        <v>2008</v>
      </c>
      <c r="C9" t="s">
        <v>29</v>
      </c>
      <c r="D9" s="19">
        <v>-303</v>
      </c>
    </row>
    <row r="10" spans="1:4" x14ac:dyDescent="0.45">
      <c r="A10" s="25">
        <v>43101</v>
      </c>
      <c r="B10">
        <v>2009</v>
      </c>
      <c r="C10" t="s">
        <v>30</v>
      </c>
      <c r="D10" s="19">
        <v>-348</v>
      </c>
    </row>
    <row r="11" spans="1:4" x14ac:dyDescent="0.45">
      <c r="A11" s="25">
        <v>43101</v>
      </c>
      <c r="B11">
        <v>2010</v>
      </c>
      <c r="C11" t="s">
        <v>31</v>
      </c>
      <c r="D11" s="19">
        <v>-177</v>
      </c>
    </row>
    <row r="12" spans="1:4" x14ac:dyDescent="0.45">
      <c r="A12" s="25">
        <v>43101</v>
      </c>
      <c r="B12">
        <v>2011</v>
      </c>
      <c r="C12" t="s">
        <v>32</v>
      </c>
      <c r="D12" s="19">
        <v>-554</v>
      </c>
    </row>
    <row r="13" spans="1:4" x14ac:dyDescent="0.45">
      <c r="A13" s="25">
        <v>43101</v>
      </c>
      <c r="B13">
        <v>2012</v>
      </c>
      <c r="C13" t="s">
        <v>33</v>
      </c>
      <c r="D13" s="19">
        <v>-877</v>
      </c>
    </row>
    <row r="14" spans="1:4" x14ac:dyDescent="0.45">
      <c r="A14" s="25">
        <v>43101</v>
      </c>
      <c r="B14">
        <v>2013</v>
      </c>
      <c r="C14" t="s">
        <v>34</v>
      </c>
      <c r="D14" s="19">
        <v>-595</v>
      </c>
    </row>
    <row r="15" spans="1:4" x14ac:dyDescent="0.45">
      <c r="A15" s="25">
        <v>43101</v>
      </c>
      <c r="B15">
        <v>2014</v>
      </c>
      <c r="C15" t="s">
        <v>35</v>
      </c>
      <c r="D15" s="19">
        <v>-626</v>
      </c>
    </row>
    <row r="16" spans="1:4" x14ac:dyDescent="0.45">
      <c r="A16" s="25">
        <v>43101</v>
      </c>
      <c r="B16">
        <v>2015</v>
      </c>
      <c r="C16" t="s">
        <v>36</v>
      </c>
      <c r="D16" s="19">
        <v>-659</v>
      </c>
    </row>
    <row r="17" spans="1:4" x14ac:dyDescent="0.45">
      <c r="A17" s="25">
        <v>43101</v>
      </c>
      <c r="B17">
        <v>2016</v>
      </c>
      <c r="C17" t="s">
        <v>37</v>
      </c>
      <c r="D17" s="19">
        <v>-435</v>
      </c>
    </row>
    <row r="18" spans="1:4" x14ac:dyDescent="0.45">
      <c r="A18" s="25">
        <v>43101</v>
      </c>
      <c r="B18">
        <v>2017</v>
      </c>
      <c r="C18" t="s">
        <v>38</v>
      </c>
      <c r="D18" s="19">
        <v>-359</v>
      </c>
    </row>
    <row r="19" spans="1:4" x14ac:dyDescent="0.45">
      <c r="A19" s="25">
        <v>43101</v>
      </c>
      <c r="B19">
        <v>3001</v>
      </c>
      <c r="C19" t="s">
        <v>41</v>
      </c>
      <c r="D19" s="19">
        <v>-317</v>
      </c>
    </row>
    <row r="20" spans="1:4" x14ac:dyDescent="0.45">
      <c r="A20" s="25">
        <v>43101</v>
      </c>
      <c r="B20">
        <v>3002</v>
      </c>
      <c r="C20" t="s">
        <v>42</v>
      </c>
      <c r="D20" s="19">
        <v>-618</v>
      </c>
    </row>
    <row r="21" spans="1:4" x14ac:dyDescent="0.45">
      <c r="A21" s="25">
        <v>43101</v>
      </c>
      <c r="B21">
        <v>3003</v>
      </c>
      <c r="C21" t="s">
        <v>43</v>
      </c>
      <c r="D21" s="19">
        <v>-301</v>
      </c>
    </row>
    <row r="22" spans="1:4" x14ac:dyDescent="0.45">
      <c r="A22" s="25">
        <v>43101</v>
      </c>
      <c r="B22">
        <v>3004</v>
      </c>
      <c r="C22" t="s">
        <v>44</v>
      </c>
      <c r="D22" s="19">
        <v>-466</v>
      </c>
    </row>
    <row r="23" spans="1:4" x14ac:dyDescent="0.45">
      <c r="A23" s="25">
        <v>43101</v>
      </c>
      <c r="B23">
        <v>3005</v>
      </c>
      <c r="C23" t="s">
        <v>45</v>
      </c>
      <c r="D23" s="19">
        <v>-465</v>
      </c>
    </row>
    <row r="24" spans="1:4" x14ac:dyDescent="0.45">
      <c r="A24" s="25">
        <v>43101</v>
      </c>
      <c r="B24">
        <v>3006</v>
      </c>
      <c r="C24" t="s">
        <v>46</v>
      </c>
      <c r="D24" s="19">
        <v>-782</v>
      </c>
    </row>
    <row r="25" spans="1:4" x14ac:dyDescent="0.45">
      <c r="A25" s="25">
        <v>43101</v>
      </c>
      <c r="B25">
        <v>3007</v>
      </c>
      <c r="C25" t="s">
        <v>47</v>
      </c>
      <c r="D25" s="19">
        <v>-840</v>
      </c>
    </row>
    <row r="26" spans="1:4" x14ac:dyDescent="0.45">
      <c r="A26" s="25">
        <v>43101</v>
      </c>
      <c r="B26">
        <v>3008</v>
      </c>
      <c r="C26" t="s">
        <v>48</v>
      </c>
      <c r="D26" s="19">
        <v>-511</v>
      </c>
    </row>
    <row r="27" spans="1:4" x14ac:dyDescent="0.45">
      <c r="A27" s="25">
        <v>43101</v>
      </c>
      <c r="B27">
        <v>3009</v>
      </c>
      <c r="C27" t="s">
        <v>49</v>
      </c>
      <c r="D27" s="19">
        <v>-913</v>
      </c>
    </row>
    <row r="28" spans="1:4" x14ac:dyDescent="0.45">
      <c r="A28" s="25">
        <v>43101</v>
      </c>
      <c r="B28">
        <v>4001</v>
      </c>
      <c r="C28" t="s">
        <v>52</v>
      </c>
      <c r="D28" s="19">
        <v>-93</v>
      </c>
    </row>
    <row r="29" spans="1:4" x14ac:dyDescent="0.45">
      <c r="A29" s="25">
        <v>43101</v>
      </c>
      <c r="B29">
        <v>4002</v>
      </c>
      <c r="C29" t="s">
        <v>53</v>
      </c>
      <c r="D29" s="19">
        <v>-514</v>
      </c>
    </row>
    <row r="30" spans="1:4" x14ac:dyDescent="0.45">
      <c r="A30" s="25">
        <v>43101</v>
      </c>
      <c r="B30">
        <v>4003</v>
      </c>
      <c r="C30" t="s">
        <v>54</v>
      </c>
      <c r="D30" s="19">
        <v>-514</v>
      </c>
    </row>
    <row r="31" spans="1:4" x14ac:dyDescent="0.45">
      <c r="A31" s="25">
        <v>43101</v>
      </c>
      <c r="B31">
        <v>5001</v>
      </c>
      <c r="C31" t="s">
        <v>57</v>
      </c>
      <c r="D31" s="19">
        <v>-41283</v>
      </c>
    </row>
    <row r="32" spans="1:4" x14ac:dyDescent="0.45">
      <c r="A32" s="25">
        <v>43101</v>
      </c>
      <c r="B32">
        <v>5002</v>
      </c>
      <c r="C32" t="s">
        <v>58</v>
      </c>
      <c r="D32" s="19">
        <v>-342</v>
      </c>
    </row>
    <row r="33" spans="1:4" x14ac:dyDescent="0.45">
      <c r="A33" s="25">
        <v>43101</v>
      </c>
      <c r="B33">
        <v>5003</v>
      </c>
      <c r="C33" t="s">
        <v>59</v>
      </c>
      <c r="D33" s="19">
        <v>-83592</v>
      </c>
    </row>
    <row r="34" spans="1:4" x14ac:dyDescent="0.45">
      <c r="A34" s="25">
        <v>43101</v>
      </c>
      <c r="B34">
        <v>5004</v>
      </c>
      <c r="C34" t="s">
        <v>60</v>
      </c>
      <c r="D34" s="19">
        <v>-42533</v>
      </c>
    </row>
    <row r="35" spans="1:4" x14ac:dyDescent="0.45">
      <c r="A35" s="25">
        <v>43101</v>
      </c>
      <c r="B35">
        <v>5005</v>
      </c>
      <c r="C35" t="s">
        <v>61</v>
      </c>
      <c r="D35" s="19">
        <v>-16856</v>
      </c>
    </row>
    <row r="36" spans="1:4" x14ac:dyDescent="0.45">
      <c r="A36" s="25">
        <v>43101</v>
      </c>
      <c r="B36">
        <v>5006</v>
      </c>
      <c r="C36" t="s">
        <v>62</v>
      </c>
      <c r="D36" s="19">
        <v>-60199</v>
      </c>
    </row>
    <row r="37" spans="1:4" x14ac:dyDescent="0.45">
      <c r="A37" s="25">
        <v>43101</v>
      </c>
      <c r="B37">
        <v>5007</v>
      </c>
      <c r="C37" t="s">
        <v>63</v>
      </c>
      <c r="D37" s="19">
        <v>-46039</v>
      </c>
    </row>
    <row r="38" spans="1:4" x14ac:dyDescent="0.45">
      <c r="A38" s="25">
        <v>43101</v>
      </c>
      <c r="B38">
        <v>5008</v>
      </c>
      <c r="C38" t="s">
        <v>64</v>
      </c>
      <c r="D38" s="19">
        <v>-15221</v>
      </c>
    </row>
    <row r="39" spans="1:4" x14ac:dyDescent="0.45">
      <c r="A39" s="25">
        <v>43101</v>
      </c>
      <c r="B39">
        <v>5009</v>
      </c>
      <c r="C39" t="s">
        <v>65</v>
      </c>
      <c r="D39" s="19">
        <v>-26669</v>
      </c>
    </row>
    <row r="40" spans="1:4" x14ac:dyDescent="0.45">
      <c r="A40" s="25">
        <v>43101</v>
      </c>
      <c r="B40">
        <v>6002</v>
      </c>
      <c r="C40" t="s">
        <v>68</v>
      </c>
      <c r="D40" s="19">
        <v>-749</v>
      </c>
    </row>
    <row r="41" spans="1:4" x14ac:dyDescent="0.45">
      <c r="A41" s="25">
        <v>43101</v>
      </c>
      <c r="B41">
        <v>6003</v>
      </c>
      <c r="C41" t="s">
        <v>69</v>
      </c>
      <c r="D41" s="19">
        <v>-411</v>
      </c>
    </row>
    <row r="42" spans="1:4" x14ac:dyDescent="0.45">
      <c r="A42" s="25">
        <v>43101</v>
      </c>
      <c r="B42">
        <v>6004</v>
      </c>
      <c r="C42" t="s">
        <v>70</v>
      </c>
      <c r="D42" s="19">
        <v>-897</v>
      </c>
    </row>
    <row r="43" spans="1:4" x14ac:dyDescent="0.45">
      <c r="A43" s="25">
        <v>43101</v>
      </c>
      <c r="B43">
        <v>6005</v>
      </c>
      <c r="C43" t="s">
        <v>71</v>
      </c>
      <c r="D43" s="19">
        <v>-365</v>
      </c>
    </row>
    <row r="44" spans="1:4" x14ac:dyDescent="0.45">
      <c r="A44" s="25">
        <v>43101</v>
      </c>
      <c r="B44">
        <v>6006</v>
      </c>
      <c r="C44" t="s">
        <v>72</v>
      </c>
      <c r="D44" s="19">
        <v>-583</v>
      </c>
    </row>
    <row r="45" spans="1:4" x14ac:dyDescent="0.45">
      <c r="A45" s="25">
        <v>43132</v>
      </c>
      <c r="B45">
        <v>2001</v>
      </c>
      <c r="C45" t="s">
        <v>22</v>
      </c>
      <c r="D45" s="19">
        <v>-475</v>
      </c>
    </row>
    <row r="46" spans="1:4" x14ac:dyDescent="0.45">
      <c r="A46" s="25">
        <v>43132</v>
      </c>
      <c r="B46">
        <v>2002</v>
      </c>
      <c r="C46" t="s">
        <v>23</v>
      </c>
      <c r="D46" s="19">
        <v>-331</v>
      </c>
    </row>
    <row r="47" spans="1:4" x14ac:dyDescent="0.45">
      <c r="A47" s="25">
        <v>43132</v>
      </c>
      <c r="B47">
        <v>2003</v>
      </c>
      <c r="C47" t="s">
        <v>24</v>
      </c>
      <c r="D47" s="19">
        <v>-383</v>
      </c>
    </row>
    <row r="48" spans="1:4" x14ac:dyDescent="0.45">
      <c r="A48" s="25">
        <v>43132</v>
      </c>
      <c r="B48">
        <v>2004</v>
      </c>
      <c r="C48" t="s">
        <v>25</v>
      </c>
      <c r="D48" s="19">
        <v>-610</v>
      </c>
    </row>
    <row r="49" spans="1:4" x14ac:dyDescent="0.45">
      <c r="A49" s="25">
        <v>43132</v>
      </c>
      <c r="B49">
        <v>2005</v>
      </c>
      <c r="C49" t="s">
        <v>26</v>
      </c>
      <c r="D49" s="19">
        <v>-239</v>
      </c>
    </row>
    <row r="50" spans="1:4" x14ac:dyDescent="0.45">
      <c r="A50" s="25">
        <v>43132</v>
      </c>
      <c r="B50">
        <v>2006</v>
      </c>
      <c r="C50" t="s">
        <v>27</v>
      </c>
      <c r="D50" s="19">
        <v>-599</v>
      </c>
    </row>
    <row r="51" spans="1:4" x14ac:dyDescent="0.45">
      <c r="A51" s="25">
        <v>43132</v>
      </c>
      <c r="B51">
        <v>2007</v>
      </c>
      <c r="C51" t="s">
        <v>28</v>
      </c>
      <c r="D51" s="19">
        <v>-484</v>
      </c>
    </row>
    <row r="52" spans="1:4" x14ac:dyDescent="0.45">
      <c r="A52" s="25">
        <v>43132</v>
      </c>
      <c r="B52">
        <v>2008</v>
      </c>
      <c r="C52" t="s">
        <v>29</v>
      </c>
      <c r="D52" s="19">
        <v>-21</v>
      </c>
    </row>
    <row r="53" spans="1:4" x14ac:dyDescent="0.45">
      <c r="A53" s="25">
        <v>43132</v>
      </c>
      <c r="B53">
        <v>2009</v>
      </c>
      <c r="C53" t="s">
        <v>30</v>
      </c>
      <c r="D53" s="19">
        <v>-97</v>
      </c>
    </row>
    <row r="54" spans="1:4" x14ac:dyDescent="0.45">
      <c r="A54" s="25">
        <v>43132</v>
      </c>
      <c r="B54">
        <v>2010</v>
      </c>
      <c r="C54" t="s">
        <v>31</v>
      </c>
      <c r="D54" s="19">
        <v>-183</v>
      </c>
    </row>
    <row r="55" spans="1:4" x14ac:dyDescent="0.45">
      <c r="A55" s="25">
        <v>43132</v>
      </c>
      <c r="B55">
        <v>2011</v>
      </c>
      <c r="C55" t="s">
        <v>32</v>
      </c>
      <c r="D55" s="19">
        <v>-938</v>
      </c>
    </row>
    <row r="56" spans="1:4" x14ac:dyDescent="0.45">
      <c r="A56" s="25">
        <v>43132</v>
      </c>
      <c r="B56">
        <v>2012</v>
      </c>
      <c r="C56" t="s">
        <v>33</v>
      </c>
      <c r="D56" s="19">
        <v>-378</v>
      </c>
    </row>
    <row r="57" spans="1:4" x14ac:dyDescent="0.45">
      <c r="A57" s="25">
        <v>43132</v>
      </c>
      <c r="B57">
        <v>2013</v>
      </c>
      <c r="C57" t="s">
        <v>34</v>
      </c>
      <c r="D57" s="19">
        <v>-492</v>
      </c>
    </row>
    <row r="58" spans="1:4" x14ac:dyDescent="0.45">
      <c r="A58" s="25">
        <v>43132</v>
      </c>
      <c r="B58">
        <v>2014</v>
      </c>
      <c r="C58" t="s">
        <v>35</v>
      </c>
      <c r="D58" s="19">
        <v>-187</v>
      </c>
    </row>
    <row r="59" spans="1:4" x14ac:dyDescent="0.45">
      <c r="A59" s="25">
        <v>43132</v>
      </c>
      <c r="B59">
        <v>2015</v>
      </c>
      <c r="C59" t="s">
        <v>36</v>
      </c>
      <c r="D59" s="19">
        <v>-678</v>
      </c>
    </row>
    <row r="60" spans="1:4" x14ac:dyDescent="0.45">
      <c r="A60" s="25">
        <v>43132</v>
      </c>
      <c r="B60">
        <v>2016</v>
      </c>
      <c r="C60" t="s">
        <v>37</v>
      </c>
      <c r="D60" s="19">
        <v>-777</v>
      </c>
    </row>
    <row r="61" spans="1:4" x14ac:dyDescent="0.45">
      <c r="A61" s="25">
        <v>43132</v>
      </c>
      <c r="B61">
        <v>2017</v>
      </c>
      <c r="C61" t="s">
        <v>38</v>
      </c>
      <c r="D61" s="19">
        <v>-919</v>
      </c>
    </row>
    <row r="62" spans="1:4" x14ac:dyDescent="0.45">
      <c r="A62" s="25">
        <v>43132</v>
      </c>
      <c r="B62">
        <v>3001</v>
      </c>
      <c r="C62" t="s">
        <v>41</v>
      </c>
      <c r="D62" s="19">
        <v>-756</v>
      </c>
    </row>
    <row r="63" spans="1:4" x14ac:dyDescent="0.45">
      <c r="A63" s="25">
        <v>43132</v>
      </c>
      <c r="B63">
        <v>3002</v>
      </c>
      <c r="C63" t="s">
        <v>42</v>
      </c>
      <c r="D63" s="19">
        <v>-517</v>
      </c>
    </row>
    <row r="64" spans="1:4" x14ac:dyDescent="0.45">
      <c r="A64" s="25">
        <v>43132</v>
      </c>
      <c r="B64">
        <v>3003</v>
      </c>
      <c r="C64" t="s">
        <v>43</v>
      </c>
      <c r="D64" s="19">
        <v>-257</v>
      </c>
    </row>
    <row r="65" spans="1:4" x14ac:dyDescent="0.45">
      <c r="A65" s="25">
        <v>43132</v>
      </c>
      <c r="B65">
        <v>3004</v>
      </c>
      <c r="C65" t="s">
        <v>44</v>
      </c>
      <c r="D65" s="19">
        <v>-743</v>
      </c>
    </row>
    <row r="66" spans="1:4" x14ac:dyDescent="0.45">
      <c r="A66" s="25">
        <v>43132</v>
      </c>
      <c r="B66">
        <v>3005</v>
      </c>
      <c r="C66" t="s">
        <v>45</v>
      </c>
      <c r="D66" s="19">
        <v>-81</v>
      </c>
    </row>
    <row r="67" spans="1:4" x14ac:dyDescent="0.45">
      <c r="A67" s="25">
        <v>43132</v>
      </c>
      <c r="B67">
        <v>3006</v>
      </c>
      <c r="C67" t="s">
        <v>46</v>
      </c>
      <c r="D67" s="19">
        <v>-202</v>
      </c>
    </row>
    <row r="68" spans="1:4" x14ac:dyDescent="0.45">
      <c r="A68" s="25">
        <v>43132</v>
      </c>
      <c r="B68">
        <v>3007</v>
      </c>
      <c r="C68" t="s">
        <v>47</v>
      </c>
      <c r="D68" s="19">
        <v>-31</v>
      </c>
    </row>
    <row r="69" spans="1:4" x14ac:dyDescent="0.45">
      <c r="A69" s="25">
        <v>43132</v>
      </c>
      <c r="B69">
        <v>3008</v>
      </c>
      <c r="C69" t="s">
        <v>48</v>
      </c>
      <c r="D69" s="19">
        <v>-865</v>
      </c>
    </row>
    <row r="70" spans="1:4" x14ac:dyDescent="0.45">
      <c r="A70" s="25">
        <v>43132</v>
      </c>
      <c r="B70">
        <v>3009</v>
      </c>
      <c r="C70" t="s">
        <v>49</v>
      </c>
      <c r="D70" s="19">
        <v>-704</v>
      </c>
    </row>
    <row r="71" spans="1:4" x14ac:dyDescent="0.45">
      <c r="A71" s="25">
        <v>43132</v>
      </c>
      <c r="B71">
        <v>4001</v>
      </c>
      <c r="C71" t="s">
        <v>52</v>
      </c>
      <c r="D71" s="19">
        <v>-730</v>
      </c>
    </row>
    <row r="72" spans="1:4" x14ac:dyDescent="0.45">
      <c r="A72" s="25">
        <v>43132</v>
      </c>
      <c r="B72">
        <v>4002</v>
      </c>
      <c r="C72" t="s">
        <v>53</v>
      </c>
      <c r="D72" s="19">
        <v>-813</v>
      </c>
    </row>
    <row r="73" spans="1:4" x14ac:dyDescent="0.45">
      <c r="A73" s="25">
        <v>43132</v>
      </c>
      <c r="B73">
        <v>4003</v>
      </c>
      <c r="C73" t="s">
        <v>54</v>
      </c>
      <c r="D73" s="19">
        <v>-911</v>
      </c>
    </row>
    <row r="74" spans="1:4" x14ac:dyDescent="0.45">
      <c r="A74" s="25">
        <v>43132</v>
      </c>
      <c r="B74">
        <v>5001</v>
      </c>
      <c r="C74" t="s">
        <v>57</v>
      </c>
      <c r="D74" s="19">
        <v>-45441</v>
      </c>
    </row>
    <row r="75" spans="1:4" x14ac:dyDescent="0.45">
      <c r="A75" s="25">
        <v>43132</v>
      </c>
      <c r="B75">
        <v>5002</v>
      </c>
      <c r="C75" t="s">
        <v>58</v>
      </c>
      <c r="D75" s="19">
        <v>-10988</v>
      </c>
    </row>
    <row r="76" spans="1:4" x14ac:dyDescent="0.45">
      <c r="A76" s="25">
        <v>43132</v>
      </c>
      <c r="B76">
        <v>5003</v>
      </c>
      <c r="C76" t="s">
        <v>59</v>
      </c>
      <c r="D76" s="19">
        <v>-958</v>
      </c>
    </row>
    <row r="77" spans="1:4" x14ac:dyDescent="0.45">
      <c r="A77" s="25">
        <v>43132</v>
      </c>
      <c r="B77">
        <v>5004</v>
      </c>
      <c r="C77" t="s">
        <v>60</v>
      </c>
      <c r="D77" s="19">
        <v>-48483</v>
      </c>
    </row>
    <row r="78" spans="1:4" x14ac:dyDescent="0.45">
      <c r="A78" s="25">
        <v>43132</v>
      </c>
      <c r="B78">
        <v>5005</v>
      </c>
      <c r="C78" t="s">
        <v>61</v>
      </c>
      <c r="D78" s="19">
        <v>-83432</v>
      </c>
    </row>
    <row r="79" spans="1:4" x14ac:dyDescent="0.45">
      <c r="A79" s="25">
        <v>43132</v>
      </c>
      <c r="B79">
        <v>5006</v>
      </c>
      <c r="C79" t="s">
        <v>62</v>
      </c>
      <c r="D79" s="19">
        <v>-72316</v>
      </c>
    </row>
    <row r="80" spans="1:4" x14ac:dyDescent="0.45">
      <c r="A80" s="25">
        <v>43132</v>
      </c>
      <c r="B80">
        <v>5007</v>
      </c>
      <c r="C80" t="s">
        <v>63</v>
      </c>
      <c r="D80" s="19">
        <v>-69752</v>
      </c>
    </row>
    <row r="81" spans="1:4" x14ac:dyDescent="0.45">
      <c r="A81" s="25">
        <v>43132</v>
      </c>
      <c r="B81">
        <v>5008</v>
      </c>
      <c r="C81" t="s">
        <v>64</v>
      </c>
      <c r="D81" s="19">
        <v>-77901</v>
      </c>
    </row>
    <row r="82" spans="1:4" x14ac:dyDescent="0.45">
      <c r="A82" s="25">
        <v>43132</v>
      </c>
      <c r="B82">
        <v>5009</v>
      </c>
      <c r="C82" t="s">
        <v>65</v>
      </c>
      <c r="D82" s="19">
        <v>-49493</v>
      </c>
    </row>
    <row r="83" spans="1:4" x14ac:dyDescent="0.45">
      <c r="A83" s="25">
        <v>43132</v>
      </c>
      <c r="B83">
        <v>6002</v>
      </c>
      <c r="C83" t="s">
        <v>68</v>
      </c>
      <c r="D83" s="19">
        <v>-794</v>
      </c>
    </row>
    <row r="84" spans="1:4" x14ac:dyDescent="0.45">
      <c r="A84" s="25">
        <v>43132</v>
      </c>
      <c r="B84">
        <v>6003</v>
      </c>
      <c r="C84" t="s">
        <v>69</v>
      </c>
      <c r="D84" s="19">
        <v>-497</v>
      </c>
    </row>
    <row r="85" spans="1:4" x14ac:dyDescent="0.45">
      <c r="A85" s="25">
        <v>43132</v>
      </c>
      <c r="B85">
        <v>6004</v>
      </c>
      <c r="C85" t="s">
        <v>70</v>
      </c>
      <c r="D85" s="19">
        <v>-668</v>
      </c>
    </row>
    <row r="86" spans="1:4" x14ac:dyDescent="0.45">
      <c r="A86" s="25">
        <v>43132</v>
      </c>
      <c r="B86">
        <v>6005</v>
      </c>
      <c r="C86" t="s">
        <v>71</v>
      </c>
      <c r="D86" s="19">
        <v>-223</v>
      </c>
    </row>
    <row r="87" spans="1:4" x14ac:dyDescent="0.45">
      <c r="A87" s="25">
        <v>43132</v>
      </c>
      <c r="B87">
        <v>6006</v>
      </c>
      <c r="C87" t="s">
        <v>72</v>
      </c>
      <c r="D87" s="19">
        <v>-144</v>
      </c>
    </row>
    <row r="88" spans="1:4" x14ac:dyDescent="0.45">
      <c r="A88" s="25">
        <v>43160</v>
      </c>
      <c r="B88">
        <v>2001</v>
      </c>
      <c r="C88" t="s">
        <v>22</v>
      </c>
      <c r="D88" s="19">
        <v>-686</v>
      </c>
    </row>
    <row r="89" spans="1:4" x14ac:dyDescent="0.45">
      <c r="A89" s="25">
        <v>43160</v>
      </c>
      <c r="B89">
        <v>2002</v>
      </c>
      <c r="C89" t="s">
        <v>23</v>
      </c>
      <c r="D89" s="19">
        <v>-843</v>
      </c>
    </row>
    <row r="90" spans="1:4" x14ac:dyDescent="0.45">
      <c r="A90" s="25">
        <v>43160</v>
      </c>
      <c r="B90">
        <v>2003</v>
      </c>
      <c r="C90" t="s">
        <v>24</v>
      </c>
      <c r="D90" s="19">
        <v>-986</v>
      </c>
    </row>
    <row r="91" spans="1:4" x14ac:dyDescent="0.45">
      <c r="A91" s="25">
        <v>43160</v>
      </c>
      <c r="B91">
        <v>2004</v>
      </c>
      <c r="C91" t="s">
        <v>25</v>
      </c>
      <c r="D91" s="19">
        <v>-683</v>
      </c>
    </row>
    <row r="92" spans="1:4" x14ac:dyDescent="0.45">
      <c r="A92" s="25">
        <v>43160</v>
      </c>
      <c r="B92">
        <v>2005</v>
      </c>
      <c r="C92" t="s">
        <v>26</v>
      </c>
      <c r="D92" s="19">
        <v>-842</v>
      </c>
    </row>
    <row r="93" spans="1:4" x14ac:dyDescent="0.45">
      <c r="A93" s="25">
        <v>43160</v>
      </c>
      <c r="B93">
        <v>2006</v>
      </c>
      <c r="C93" t="s">
        <v>27</v>
      </c>
      <c r="D93" s="19">
        <v>-353</v>
      </c>
    </row>
    <row r="94" spans="1:4" x14ac:dyDescent="0.45">
      <c r="A94" s="25">
        <v>43160</v>
      </c>
      <c r="B94">
        <v>2007</v>
      </c>
      <c r="C94" t="s">
        <v>28</v>
      </c>
      <c r="D94" s="19">
        <v>-35</v>
      </c>
    </row>
    <row r="95" spans="1:4" x14ac:dyDescent="0.45">
      <c r="A95" s="25">
        <v>43160</v>
      </c>
      <c r="B95">
        <v>2008</v>
      </c>
      <c r="C95" t="s">
        <v>29</v>
      </c>
      <c r="D95" s="19">
        <v>-534</v>
      </c>
    </row>
    <row r="96" spans="1:4" x14ac:dyDescent="0.45">
      <c r="A96" s="25">
        <v>43160</v>
      </c>
      <c r="B96">
        <v>2009</v>
      </c>
      <c r="C96" t="s">
        <v>30</v>
      </c>
      <c r="D96" s="19">
        <v>-396</v>
      </c>
    </row>
    <row r="97" spans="1:4" x14ac:dyDescent="0.45">
      <c r="A97" s="25">
        <v>43160</v>
      </c>
      <c r="B97">
        <v>2010</v>
      </c>
      <c r="C97" t="s">
        <v>31</v>
      </c>
      <c r="D97" s="19">
        <v>-123</v>
      </c>
    </row>
    <row r="98" spans="1:4" x14ac:dyDescent="0.45">
      <c r="A98" s="25">
        <v>43160</v>
      </c>
      <c r="B98">
        <v>2011</v>
      </c>
      <c r="C98" t="s">
        <v>32</v>
      </c>
      <c r="D98" s="19">
        <v>-605</v>
      </c>
    </row>
    <row r="99" spans="1:4" x14ac:dyDescent="0.45">
      <c r="A99" s="25">
        <v>43160</v>
      </c>
      <c r="B99">
        <v>2012</v>
      </c>
      <c r="C99" t="s">
        <v>33</v>
      </c>
      <c r="D99" s="19">
        <v>-94</v>
      </c>
    </row>
    <row r="100" spans="1:4" x14ac:dyDescent="0.45">
      <c r="A100" s="25">
        <v>43160</v>
      </c>
      <c r="B100">
        <v>2013</v>
      </c>
      <c r="C100" t="s">
        <v>34</v>
      </c>
      <c r="D100" s="19">
        <v>-406</v>
      </c>
    </row>
    <row r="101" spans="1:4" x14ac:dyDescent="0.45">
      <c r="A101" s="25">
        <v>43160</v>
      </c>
      <c r="B101">
        <v>2014</v>
      </c>
      <c r="C101" t="s">
        <v>35</v>
      </c>
      <c r="D101" s="19">
        <v>-469</v>
      </c>
    </row>
    <row r="102" spans="1:4" x14ac:dyDescent="0.45">
      <c r="A102" s="25">
        <v>43160</v>
      </c>
      <c r="B102">
        <v>2015</v>
      </c>
      <c r="C102" t="s">
        <v>36</v>
      </c>
      <c r="D102" s="19">
        <v>-228</v>
      </c>
    </row>
    <row r="103" spans="1:4" x14ac:dyDescent="0.45">
      <c r="A103" s="25">
        <v>43160</v>
      </c>
      <c r="B103">
        <v>2016</v>
      </c>
      <c r="C103" t="s">
        <v>37</v>
      </c>
      <c r="D103" s="19">
        <v>-17</v>
      </c>
    </row>
    <row r="104" spans="1:4" x14ac:dyDescent="0.45">
      <c r="A104" s="25">
        <v>43160</v>
      </c>
      <c r="B104">
        <v>2017</v>
      </c>
      <c r="C104" t="s">
        <v>38</v>
      </c>
      <c r="D104" s="19">
        <v>-950</v>
      </c>
    </row>
    <row r="105" spans="1:4" x14ac:dyDescent="0.45">
      <c r="A105" s="25">
        <v>43160</v>
      </c>
      <c r="B105">
        <v>3001</v>
      </c>
      <c r="C105" t="s">
        <v>41</v>
      </c>
      <c r="D105" s="19">
        <v>-270</v>
      </c>
    </row>
    <row r="106" spans="1:4" x14ac:dyDescent="0.45">
      <c r="A106" s="25">
        <v>43160</v>
      </c>
      <c r="B106">
        <v>3002</v>
      </c>
      <c r="C106" t="s">
        <v>42</v>
      </c>
      <c r="D106" s="19">
        <v>-557</v>
      </c>
    </row>
    <row r="107" spans="1:4" x14ac:dyDescent="0.45">
      <c r="A107" s="25">
        <v>43160</v>
      </c>
      <c r="B107">
        <v>3003</v>
      </c>
      <c r="C107" t="s">
        <v>43</v>
      </c>
      <c r="D107" s="19">
        <v>-328</v>
      </c>
    </row>
    <row r="108" spans="1:4" x14ac:dyDescent="0.45">
      <c r="A108" s="25">
        <v>43160</v>
      </c>
      <c r="B108">
        <v>3004</v>
      </c>
      <c r="C108" t="s">
        <v>44</v>
      </c>
      <c r="D108" s="19">
        <v>-731</v>
      </c>
    </row>
    <row r="109" spans="1:4" x14ac:dyDescent="0.45">
      <c r="A109" s="25">
        <v>43160</v>
      </c>
      <c r="B109">
        <v>3005</v>
      </c>
      <c r="C109" t="s">
        <v>45</v>
      </c>
      <c r="D109" s="19">
        <v>-589</v>
      </c>
    </row>
    <row r="110" spans="1:4" x14ac:dyDescent="0.45">
      <c r="A110" s="25">
        <v>43160</v>
      </c>
      <c r="B110">
        <v>3006</v>
      </c>
      <c r="C110" t="s">
        <v>46</v>
      </c>
      <c r="D110" s="19">
        <v>-354</v>
      </c>
    </row>
    <row r="111" spans="1:4" x14ac:dyDescent="0.45">
      <c r="A111" s="25">
        <v>43160</v>
      </c>
      <c r="B111">
        <v>3007</v>
      </c>
      <c r="C111" t="s">
        <v>47</v>
      </c>
      <c r="D111" s="19">
        <v>-560</v>
      </c>
    </row>
    <row r="112" spans="1:4" x14ac:dyDescent="0.45">
      <c r="A112" s="25">
        <v>43160</v>
      </c>
      <c r="B112">
        <v>3008</v>
      </c>
      <c r="C112" t="s">
        <v>48</v>
      </c>
      <c r="D112" s="19">
        <v>-887</v>
      </c>
    </row>
    <row r="113" spans="1:4" x14ac:dyDescent="0.45">
      <c r="A113" s="25">
        <v>43160</v>
      </c>
      <c r="B113">
        <v>3009</v>
      </c>
      <c r="C113" t="s">
        <v>49</v>
      </c>
      <c r="D113" s="19">
        <v>-645</v>
      </c>
    </row>
    <row r="114" spans="1:4" x14ac:dyDescent="0.45">
      <c r="A114" s="25">
        <v>43160</v>
      </c>
      <c r="B114">
        <v>4001</v>
      </c>
      <c r="C114" t="s">
        <v>52</v>
      </c>
      <c r="D114" s="19">
        <v>-273</v>
      </c>
    </row>
    <row r="115" spans="1:4" x14ac:dyDescent="0.45">
      <c r="A115" s="25">
        <v>43160</v>
      </c>
      <c r="B115">
        <v>4002</v>
      </c>
      <c r="C115" t="s">
        <v>53</v>
      </c>
      <c r="D115" s="19">
        <v>-446</v>
      </c>
    </row>
    <row r="116" spans="1:4" x14ac:dyDescent="0.45">
      <c r="A116" s="25">
        <v>43160</v>
      </c>
      <c r="B116">
        <v>4003</v>
      </c>
      <c r="C116" t="s">
        <v>54</v>
      </c>
      <c r="D116" s="19">
        <v>-234</v>
      </c>
    </row>
    <row r="117" spans="1:4" x14ac:dyDescent="0.45">
      <c r="A117" s="25">
        <v>43160</v>
      </c>
      <c r="B117">
        <v>5001</v>
      </c>
      <c r="C117" t="s">
        <v>57</v>
      </c>
      <c r="D117" s="19">
        <v>-38674</v>
      </c>
    </row>
    <row r="118" spans="1:4" x14ac:dyDescent="0.45">
      <c r="A118" s="25">
        <v>43160</v>
      </c>
      <c r="B118">
        <v>5002</v>
      </c>
      <c r="C118" t="s">
        <v>58</v>
      </c>
      <c r="D118" s="19">
        <v>-95042</v>
      </c>
    </row>
    <row r="119" spans="1:4" x14ac:dyDescent="0.45">
      <c r="A119" s="25">
        <v>43160</v>
      </c>
      <c r="B119">
        <v>5003</v>
      </c>
      <c r="C119" t="s">
        <v>59</v>
      </c>
      <c r="D119" s="19">
        <v>-50491</v>
      </c>
    </row>
    <row r="120" spans="1:4" x14ac:dyDescent="0.45">
      <c r="A120" s="25">
        <v>43160</v>
      </c>
      <c r="B120">
        <v>5004</v>
      </c>
      <c r="C120" t="s">
        <v>60</v>
      </c>
      <c r="D120" s="19">
        <v>-40741</v>
      </c>
    </row>
    <row r="121" spans="1:4" x14ac:dyDescent="0.45">
      <c r="A121" s="25">
        <v>43160</v>
      </c>
      <c r="B121">
        <v>5005</v>
      </c>
      <c r="C121" t="s">
        <v>61</v>
      </c>
      <c r="D121" s="19">
        <v>-95985</v>
      </c>
    </row>
    <row r="122" spans="1:4" x14ac:dyDescent="0.45">
      <c r="A122" s="25">
        <v>43160</v>
      </c>
      <c r="B122">
        <v>5006</v>
      </c>
      <c r="C122" t="s">
        <v>62</v>
      </c>
      <c r="D122" s="19">
        <v>-98858</v>
      </c>
    </row>
    <row r="123" spans="1:4" x14ac:dyDescent="0.45">
      <c r="A123" s="25">
        <v>43160</v>
      </c>
      <c r="B123">
        <v>5007</v>
      </c>
      <c r="C123" t="s">
        <v>63</v>
      </c>
      <c r="D123" s="19">
        <v>-57658</v>
      </c>
    </row>
    <row r="124" spans="1:4" x14ac:dyDescent="0.45">
      <c r="A124" s="25">
        <v>43160</v>
      </c>
      <c r="B124">
        <v>5008</v>
      </c>
      <c r="C124" t="s">
        <v>64</v>
      </c>
      <c r="D124" s="19">
        <v>-63361</v>
      </c>
    </row>
    <row r="125" spans="1:4" x14ac:dyDescent="0.45">
      <c r="A125" s="25">
        <v>43160</v>
      </c>
      <c r="B125">
        <v>5009</v>
      </c>
      <c r="C125" t="s">
        <v>65</v>
      </c>
      <c r="D125" s="19">
        <v>-74859</v>
      </c>
    </row>
    <row r="126" spans="1:4" x14ac:dyDescent="0.45">
      <c r="A126" s="25">
        <v>43160</v>
      </c>
      <c r="B126">
        <v>6002</v>
      </c>
      <c r="C126" t="s">
        <v>68</v>
      </c>
      <c r="D126" s="19">
        <v>-790</v>
      </c>
    </row>
    <row r="127" spans="1:4" x14ac:dyDescent="0.45">
      <c r="A127" s="25">
        <v>43160</v>
      </c>
      <c r="B127">
        <v>6003</v>
      </c>
      <c r="C127" t="s">
        <v>69</v>
      </c>
      <c r="D127" s="19">
        <v>-553</v>
      </c>
    </row>
    <row r="128" spans="1:4" x14ac:dyDescent="0.45">
      <c r="A128" s="25">
        <v>43160</v>
      </c>
      <c r="B128">
        <v>6004</v>
      </c>
      <c r="C128" t="s">
        <v>70</v>
      </c>
      <c r="D128" s="19">
        <v>-98</v>
      </c>
    </row>
    <row r="129" spans="1:4" x14ac:dyDescent="0.45">
      <c r="A129" s="25">
        <v>43160</v>
      </c>
      <c r="B129">
        <v>6005</v>
      </c>
      <c r="C129" t="s">
        <v>71</v>
      </c>
      <c r="D129" s="19">
        <v>-392</v>
      </c>
    </row>
    <row r="130" spans="1:4" x14ac:dyDescent="0.45">
      <c r="A130" s="25">
        <v>43160</v>
      </c>
      <c r="B130">
        <v>6006</v>
      </c>
      <c r="C130" t="s">
        <v>72</v>
      </c>
      <c r="D130" s="19">
        <v>-573</v>
      </c>
    </row>
    <row r="131" spans="1:4" x14ac:dyDescent="0.45">
      <c r="A131" s="25">
        <v>43191</v>
      </c>
      <c r="B131">
        <v>2001</v>
      </c>
      <c r="C131" t="s">
        <v>22</v>
      </c>
      <c r="D131" s="19">
        <v>-946</v>
      </c>
    </row>
    <row r="132" spans="1:4" x14ac:dyDescent="0.45">
      <c r="A132" s="25">
        <v>43191</v>
      </c>
      <c r="B132">
        <v>2002</v>
      </c>
      <c r="C132" t="s">
        <v>23</v>
      </c>
      <c r="D132" s="19">
        <v>-932</v>
      </c>
    </row>
    <row r="133" spans="1:4" x14ac:dyDescent="0.45">
      <c r="A133" s="25">
        <v>43191</v>
      </c>
      <c r="B133">
        <v>2003</v>
      </c>
      <c r="C133" t="s">
        <v>24</v>
      </c>
      <c r="D133" s="19">
        <v>-203</v>
      </c>
    </row>
    <row r="134" spans="1:4" x14ac:dyDescent="0.45">
      <c r="A134" s="25">
        <v>43191</v>
      </c>
      <c r="B134">
        <v>2004</v>
      </c>
      <c r="C134" t="s">
        <v>25</v>
      </c>
      <c r="D134" s="19">
        <v>-825</v>
      </c>
    </row>
    <row r="135" spans="1:4" x14ac:dyDescent="0.45">
      <c r="A135" s="25">
        <v>43191</v>
      </c>
      <c r="B135">
        <v>2005</v>
      </c>
      <c r="C135" t="s">
        <v>26</v>
      </c>
      <c r="D135" s="19">
        <v>-547</v>
      </c>
    </row>
    <row r="136" spans="1:4" x14ac:dyDescent="0.45">
      <c r="A136" s="25">
        <v>43191</v>
      </c>
      <c r="B136">
        <v>2006</v>
      </c>
      <c r="C136" t="s">
        <v>27</v>
      </c>
      <c r="D136" s="19">
        <v>-551</v>
      </c>
    </row>
    <row r="137" spans="1:4" x14ac:dyDescent="0.45">
      <c r="A137" s="25">
        <v>43191</v>
      </c>
      <c r="B137">
        <v>2007</v>
      </c>
      <c r="C137" t="s">
        <v>28</v>
      </c>
      <c r="D137" s="19">
        <v>-194</v>
      </c>
    </row>
    <row r="138" spans="1:4" x14ac:dyDescent="0.45">
      <c r="A138" s="25">
        <v>43191</v>
      </c>
      <c r="B138">
        <v>2008</v>
      </c>
      <c r="C138" t="s">
        <v>29</v>
      </c>
      <c r="D138" s="19">
        <v>-822</v>
      </c>
    </row>
    <row r="139" spans="1:4" x14ac:dyDescent="0.45">
      <c r="A139" s="25">
        <v>43191</v>
      </c>
      <c r="B139">
        <v>2009</v>
      </c>
      <c r="C139" t="s">
        <v>30</v>
      </c>
      <c r="D139" s="19">
        <v>-314</v>
      </c>
    </row>
    <row r="140" spans="1:4" x14ac:dyDescent="0.45">
      <c r="A140" s="25">
        <v>43191</v>
      </c>
      <c r="B140">
        <v>2010</v>
      </c>
      <c r="C140" t="s">
        <v>31</v>
      </c>
      <c r="D140" s="19">
        <v>-482</v>
      </c>
    </row>
    <row r="141" spans="1:4" x14ac:dyDescent="0.45">
      <c r="A141" s="25">
        <v>43191</v>
      </c>
      <c r="B141">
        <v>2011</v>
      </c>
      <c r="C141" t="s">
        <v>32</v>
      </c>
      <c r="D141" s="19">
        <v>-322</v>
      </c>
    </row>
    <row r="142" spans="1:4" x14ac:dyDescent="0.45">
      <c r="A142" s="25">
        <v>43191</v>
      </c>
      <c r="B142">
        <v>2012</v>
      </c>
      <c r="C142" t="s">
        <v>33</v>
      </c>
      <c r="D142" s="19">
        <v>-854</v>
      </c>
    </row>
    <row r="143" spans="1:4" x14ac:dyDescent="0.45">
      <c r="A143" s="25">
        <v>43191</v>
      </c>
      <c r="B143">
        <v>2013</v>
      </c>
      <c r="C143" t="s">
        <v>34</v>
      </c>
      <c r="D143" s="19">
        <v>-833</v>
      </c>
    </row>
    <row r="144" spans="1:4" x14ac:dyDescent="0.45">
      <c r="A144" s="25">
        <v>43191</v>
      </c>
      <c r="B144">
        <v>2014</v>
      </c>
      <c r="C144" t="s">
        <v>35</v>
      </c>
      <c r="D144" s="19">
        <v>-124</v>
      </c>
    </row>
    <row r="145" spans="1:4" x14ac:dyDescent="0.45">
      <c r="A145" s="25">
        <v>43191</v>
      </c>
      <c r="B145">
        <v>2015</v>
      </c>
      <c r="C145" t="s">
        <v>36</v>
      </c>
      <c r="D145" s="19">
        <v>-519</v>
      </c>
    </row>
    <row r="146" spans="1:4" x14ac:dyDescent="0.45">
      <c r="A146" s="25">
        <v>43191</v>
      </c>
      <c r="B146">
        <v>2016</v>
      </c>
      <c r="C146" t="s">
        <v>37</v>
      </c>
      <c r="D146" s="19">
        <v>-523</v>
      </c>
    </row>
    <row r="147" spans="1:4" x14ac:dyDescent="0.45">
      <c r="A147" s="25">
        <v>43191</v>
      </c>
      <c r="B147">
        <v>2017</v>
      </c>
      <c r="C147" t="s">
        <v>38</v>
      </c>
      <c r="D147" s="19">
        <v>-703</v>
      </c>
    </row>
    <row r="148" spans="1:4" x14ac:dyDescent="0.45">
      <c r="A148" s="25">
        <v>43191</v>
      </c>
      <c r="B148">
        <v>3001</v>
      </c>
      <c r="C148" t="s">
        <v>41</v>
      </c>
      <c r="D148" s="19">
        <v>-161</v>
      </c>
    </row>
    <row r="149" spans="1:4" x14ac:dyDescent="0.45">
      <c r="A149" s="25">
        <v>43191</v>
      </c>
      <c r="B149">
        <v>3002</v>
      </c>
      <c r="C149" t="s">
        <v>42</v>
      </c>
      <c r="D149" s="19">
        <v>-75</v>
      </c>
    </row>
    <row r="150" spans="1:4" x14ac:dyDescent="0.45">
      <c r="A150" s="25">
        <v>43191</v>
      </c>
      <c r="B150">
        <v>3003</v>
      </c>
      <c r="C150" t="s">
        <v>43</v>
      </c>
      <c r="D150" s="19">
        <v>-43</v>
      </c>
    </row>
    <row r="151" spans="1:4" x14ac:dyDescent="0.45">
      <c r="A151" s="25">
        <v>43191</v>
      </c>
      <c r="B151">
        <v>3004</v>
      </c>
      <c r="C151" t="s">
        <v>44</v>
      </c>
      <c r="D151" s="19">
        <v>-761</v>
      </c>
    </row>
    <row r="152" spans="1:4" x14ac:dyDescent="0.45">
      <c r="A152" s="25">
        <v>43191</v>
      </c>
      <c r="B152">
        <v>3005</v>
      </c>
      <c r="C152" t="s">
        <v>45</v>
      </c>
      <c r="D152" s="19">
        <v>-92</v>
      </c>
    </row>
    <row r="153" spans="1:4" x14ac:dyDescent="0.45">
      <c r="A153" s="25">
        <v>43191</v>
      </c>
      <c r="B153">
        <v>3006</v>
      </c>
      <c r="C153" t="s">
        <v>46</v>
      </c>
      <c r="D153" s="19">
        <v>-218</v>
      </c>
    </row>
    <row r="154" spans="1:4" x14ac:dyDescent="0.45">
      <c r="A154" s="25">
        <v>43191</v>
      </c>
      <c r="B154">
        <v>3007</v>
      </c>
      <c r="C154" t="s">
        <v>47</v>
      </c>
      <c r="D154" s="19">
        <v>-14</v>
      </c>
    </row>
    <row r="155" spans="1:4" x14ac:dyDescent="0.45">
      <c r="A155" s="25">
        <v>43191</v>
      </c>
      <c r="B155">
        <v>3008</v>
      </c>
      <c r="C155" t="s">
        <v>48</v>
      </c>
      <c r="D155" s="19">
        <v>-245</v>
      </c>
    </row>
    <row r="156" spans="1:4" x14ac:dyDescent="0.45">
      <c r="A156" s="25">
        <v>43191</v>
      </c>
      <c r="B156">
        <v>3009</v>
      </c>
      <c r="C156" t="s">
        <v>49</v>
      </c>
      <c r="D156" s="19">
        <v>-553</v>
      </c>
    </row>
    <row r="157" spans="1:4" x14ac:dyDescent="0.45">
      <c r="A157" s="25">
        <v>43191</v>
      </c>
      <c r="B157">
        <v>4001</v>
      </c>
      <c r="C157" t="s">
        <v>52</v>
      </c>
      <c r="D157" s="19">
        <v>-255</v>
      </c>
    </row>
    <row r="158" spans="1:4" x14ac:dyDescent="0.45">
      <c r="A158" s="25">
        <v>43191</v>
      </c>
      <c r="B158">
        <v>4002</v>
      </c>
      <c r="C158" t="s">
        <v>53</v>
      </c>
      <c r="D158" s="19">
        <v>-204</v>
      </c>
    </row>
    <row r="159" spans="1:4" x14ac:dyDescent="0.45">
      <c r="A159" s="25">
        <v>43191</v>
      </c>
      <c r="B159">
        <v>4003</v>
      </c>
      <c r="C159" t="s">
        <v>54</v>
      </c>
      <c r="D159" s="19">
        <v>-115</v>
      </c>
    </row>
    <row r="160" spans="1:4" x14ac:dyDescent="0.45">
      <c r="A160" s="25">
        <v>43191</v>
      </c>
      <c r="B160">
        <v>5001</v>
      </c>
      <c r="C160" t="s">
        <v>57</v>
      </c>
      <c r="D160" s="19">
        <v>-4200</v>
      </c>
    </row>
    <row r="161" spans="1:4" x14ac:dyDescent="0.45">
      <c r="A161" s="25">
        <v>43191</v>
      </c>
      <c r="B161">
        <v>5002</v>
      </c>
      <c r="C161" t="s">
        <v>58</v>
      </c>
      <c r="D161" s="19">
        <v>-97088</v>
      </c>
    </row>
    <row r="162" spans="1:4" x14ac:dyDescent="0.45">
      <c r="A162" s="25">
        <v>43191</v>
      </c>
      <c r="B162">
        <v>5003</v>
      </c>
      <c r="C162" t="s">
        <v>59</v>
      </c>
      <c r="D162" s="19">
        <v>-7657</v>
      </c>
    </row>
    <row r="163" spans="1:4" x14ac:dyDescent="0.45">
      <c r="A163" s="25">
        <v>43191</v>
      </c>
      <c r="B163">
        <v>5004</v>
      </c>
      <c r="C163" t="s">
        <v>60</v>
      </c>
      <c r="D163" s="19">
        <v>-42860</v>
      </c>
    </row>
    <row r="164" spans="1:4" x14ac:dyDescent="0.45">
      <c r="A164" s="25">
        <v>43191</v>
      </c>
      <c r="B164">
        <v>5005</v>
      </c>
      <c r="C164" t="s">
        <v>61</v>
      </c>
      <c r="D164" s="19">
        <v>-94991</v>
      </c>
    </row>
    <row r="165" spans="1:4" x14ac:dyDescent="0.45">
      <c r="A165" s="25">
        <v>43191</v>
      </c>
      <c r="B165">
        <v>5006</v>
      </c>
      <c r="C165" t="s">
        <v>62</v>
      </c>
      <c r="D165" s="19">
        <v>-50987</v>
      </c>
    </row>
    <row r="166" spans="1:4" x14ac:dyDescent="0.45">
      <c r="A166" s="25">
        <v>43191</v>
      </c>
      <c r="B166">
        <v>5007</v>
      </c>
      <c r="C166" t="s">
        <v>63</v>
      </c>
      <c r="D166" s="19">
        <v>-22902</v>
      </c>
    </row>
    <row r="167" spans="1:4" x14ac:dyDescent="0.45">
      <c r="A167" s="25">
        <v>43191</v>
      </c>
      <c r="B167">
        <v>5008</v>
      </c>
      <c r="C167" t="s">
        <v>64</v>
      </c>
      <c r="D167" s="19">
        <v>-58662</v>
      </c>
    </row>
    <row r="168" spans="1:4" x14ac:dyDescent="0.45">
      <c r="A168" s="25">
        <v>43191</v>
      </c>
      <c r="B168">
        <v>5009</v>
      </c>
      <c r="C168" t="s">
        <v>65</v>
      </c>
      <c r="D168" s="19">
        <v>-6091</v>
      </c>
    </row>
    <row r="169" spans="1:4" x14ac:dyDescent="0.45">
      <c r="A169" s="25">
        <v>43191</v>
      </c>
      <c r="B169">
        <v>6002</v>
      </c>
      <c r="C169" t="s">
        <v>68</v>
      </c>
      <c r="D169" s="19">
        <v>-803</v>
      </c>
    </row>
    <row r="170" spans="1:4" x14ac:dyDescent="0.45">
      <c r="A170" s="25">
        <v>43191</v>
      </c>
      <c r="B170">
        <v>6003</v>
      </c>
      <c r="C170" t="s">
        <v>69</v>
      </c>
      <c r="D170" s="19">
        <v>-121</v>
      </c>
    </row>
    <row r="171" spans="1:4" x14ac:dyDescent="0.45">
      <c r="A171" s="25">
        <v>43191</v>
      </c>
      <c r="B171">
        <v>6004</v>
      </c>
      <c r="C171" t="s">
        <v>70</v>
      </c>
      <c r="D171" s="19">
        <v>-926</v>
      </c>
    </row>
    <row r="172" spans="1:4" x14ac:dyDescent="0.45">
      <c r="A172" s="25">
        <v>43191</v>
      </c>
      <c r="B172">
        <v>6005</v>
      </c>
      <c r="C172" t="s">
        <v>71</v>
      </c>
      <c r="D172" s="19">
        <v>-155</v>
      </c>
    </row>
    <row r="173" spans="1:4" x14ac:dyDescent="0.45">
      <c r="A173" s="25">
        <v>43191</v>
      </c>
      <c r="B173">
        <v>6006</v>
      </c>
      <c r="C173" t="s">
        <v>72</v>
      </c>
      <c r="D173" s="19">
        <v>-668</v>
      </c>
    </row>
    <row r="174" spans="1:4" x14ac:dyDescent="0.45">
      <c r="A174" s="25">
        <v>43221</v>
      </c>
      <c r="B174">
        <v>2001</v>
      </c>
      <c r="C174" t="s">
        <v>22</v>
      </c>
      <c r="D174" s="19">
        <v>-781</v>
      </c>
    </row>
    <row r="175" spans="1:4" x14ac:dyDescent="0.45">
      <c r="A175" s="25">
        <v>43221</v>
      </c>
      <c r="B175">
        <v>2002</v>
      </c>
      <c r="C175" t="s">
        <v>23</v>
      </c>
      <c r="D175" s="19">
        <v>-966</v>
      </c>
    </row>
    <row r="176" spans="1:4" x14ac:dyDescent="0.45">
      <c r="A176" s="25">
        <v>43221</v>
      </c>
      <c r="B176">
        <v>2003</v>
      </c>
      <c r="C176" t="s">
        <v>24</v>
      </c>
      <c r="D176" s="19">
        <v>-787</v>
      </c>
    </row>
    <row r="177" spans="1:4" x14ac:dyDescent="0.45">
      <c r="A177" s="25">
        <v>43221</v>
      </c>
      <c r="B177">
        <v>2004</v>
      </c>
      <c r="C177" t="s">
        <v>25</v>
      </c>
      <c r="D177" s="19">
        <v>-349</v>
      </c>
    </row>
    <row r="178" spans="1:4" x14ac:dyDescent="0.45">
      <c r="A178" s="25">
        <v>43221</v>
      </c>
      <c r="B178">
        <v>2005</v>
      </c>
      <c r="C178" t="s">
        <v>26</v>
      </c>
      <c r="D178" s="19">
        <v>-563</v>
      </c>
    </row>
    <row r="179" spans="1:4" x14ac:dyDescent="0.45">
      <c r="A179" s="25">
        <v>43221</v>
      </c>
      <c r="B179">
        <v>2006</v>
      </c>
      <c r="C179" t="s">
        <v>27</v>
      </c>
      <c r="D179" s="19">
        <v>-359</v>
      </c>
    </row>
    <row r="180" spans="1:4" x14ac:dyDescent="0.45">
      <c r="A180" s="25">
        <v>43221</v>
      </c>
      <c r="B180">
        <v>2007</v>
      </c>
      <c r="C180" t="s">
        <v>28</v>
      </c>
      <c r="D180" s="19">
        <v>-722</v>
      </c>
    </row>
    <row r="181" spans="1:4" x14ac:dyDescent="0.45">
      <c r="A181" s="25">
        <v>43221</v>
      </c>
      <c r="B181">
        <v>2008</v>
      </c>
      <c r="C181" t="s">
        <v>29</v>
      </c>
      <c r="D181" s="19">
        <v>-319</v>
      </c>
    </row>
    <row r="182" spans="1:4" x14ac:dyDescent="0.45">
      <c r="A182" s="25">
        <v>43221</v>
      </c>
      <c r="B182">
        <v>2009</v>
      </c>
      <c r="C182" t="s">
        <v>30</v>
      </c>
      <c r="D182" s="19">
        <v>-66</v>
      </c>
    </row>
    <row r="183" spans="1:4" x14ac:dyDescent="0.45">
      <c r="A183" s="25">
        <v>43221</v>
      </c>
      <c r="B183">
        <v>2010</v>
      </c>
      <c r="C183" t="s">
        <v>31</v>
      </c>
      <c r="D183" s="19">
        <v>-9</v>
      </c>
    </row>
    <row r="184" spans="1:4" x14ac:dyDescent="0.45">
      <c r="A184" s="25">
        <v>43221</v>
      </c>
      <c r="B184">
        <v>2011</v>
      </c>
      <c r="C184" t="s">
        <v>32</v>
      </c>
      <c r="D184" s="19">
        <v>-948</v>
      </c>
    </row>
    <row r="185" spans="1:4" x14ac:dyDescent="0.45">
      <c r="A185" s="25">
        <v>43221</v>
      </c>
      <c r="B185">
        <v>2012</v>
      </c>
      <c r="C185" t="s">
        <v>33</v>
      </c>
      <c r="D185" s="19">
        <v>-493</v>
      </c>
    </row>
    <row r="186" spans="1:4" x14ac:dyDescent="0.45">
      <c r="A186" s="25">
        <v>43221</v>
      </c>
      <c r="B186">
        <v>2013</v>
      </c>
      <c r="C186" t="s">
        <v>34</v>
      </c>
      <c r="D186" s="19">
        <v>-224</v>
      </c>
    </row>
    <row r="187" spans="1:4" x14ac:dyDescent="0.45">
      <c r="A187" s="25">
        <v>43221</v>
      </c>
      <c r="B187">
        <v>2014</v>
      </c>
      <c r="C187" t="s">
        <v>35</v>
      </c>
      <c r="D187" s="19">
        <v>-531</v>
      </c>
    </row>
    <row r="188" spans="1:4" x14ac:dyDescent="0.45">
      <c r="A188" s="25">
        <v>43221</v>
      </c>
      <c r="B188">
        <v>2015</v>
      </c>
      <c r="C188" t="s">
        <v>36</v>
      </c>
      <c r="D188" s="19">
        <v>-582</v>
      </c>
    </row>
    <row r="189" spans="1:4" x14ac:dyDescent="0.45">
      <c r="A189" s="25">
        <v>43221</v>
      </c>
      <c r="B189">
        <v>2016</v>
      </c>
      <c r="C189" t="s">
        <v>37</v>
      </c>
      <c r="D189" s="19">
        <v>-856</v>
      </c>
    </row>
    <row r="190" spans="1:4" x14ac:dyDescent="0.45">
      <c r="A190" s="25">
        <v>43221</v>
      </c>
      <c r="B190">
        <v>2017</v>
      </c>
      <c r="C190" t="s">
        <v>38</v>
      </c>
      <c r="D190" s="19">
        <v>-291</v>
      </c>
    </row>
    <row r="191" spans="1:4" x14ac:dyDescent="0.45">
      <c r="A191" s="25">
        <v>43221</v>
      </c>
      <c r="B191">
        <v>3001</v>
      </c>
      <c r="C191" t="s">
        <v>41</v>
      </c>
      <c r="D191" s="19">
        <v>-963</v>
      </c>
    </row>
    <row r="192" spans="1:4" x14ac:dyDescent="0.45">
      <c r="A192" s="25">
        <v>43221</v>
      </c>
      <c r="B192">
        <v>3002</v>
      </c>
      <c r="C192" t="s">
        <v>42</v>
      </c>
      <c r="D192" s="19">
        <v>-687</v>
      </c>
    </row>
    <row r="193" spans="1:4" x14ac:dyDescent="0.45">
      <c r="A193" s="25">
        <v>43221</v>
      </c>
      <c r="B193">
        <v>3003</v>
      </c>
      <c r="C193" t="s">
        <v>43</v>
      </c>
      <c r="D193" s="19">
        <v>-73</v>
      </c>
    </row>
    <row r="194" spans="1:4" x14ac:dyDescent="0.45">
      <c r="A194" s="25">
        <v>43221</v>
      </c>
      <c r="B194">
        <v>3004</v>
      </c>
      <c r="C194" t="s">
        <v>44</v>
      </c>
      <c r="D194" s="19">
        <v>-917</v>
      </c>
    </row>
    <row r="195" spans="1:4" x14ac:dyDescent="0.45">
      <c r="A195" s="25">
        <v>43221</v>
      </c>
      <c r="B195">
        <v>3005</v>
      </c>
      <c r="C195" t="s">
        <v>45</v>
      </c>
      <c r="D195" s="19">
        <v>-285</v>
      </c>
    </row>
    <row r="196" spans="1:4" x14ac:dyDescent="0.45">
      <c r="A196" s="25">
        <v>43221</v>
      </c>
      <c r="B196">
        <v>3006</v>
      </c>
      <c r="C196" t="s">
        <v>46</v>
      </c>
      <c r="D196" s="19">
        <v>-76</v>
      </c>
    </row>
    <row r="197" spans="1:4" x14ac:dyDescent="0.45">
      <c r="A197" s="25">
        <v>43221</v>
      </c>
      <c r="B197">
        <v>3007</v>
      </c>
      <c r="C197" t="s">
        <v>47</v>
      </c>
      <c r="D197" s="19">
        <v>-278</v>
      </c>
    </row>
    <row r="198" spans="1:4" x14ac:dyDescent="0.45">
      <c r="A198" s="25">
        <v>43221</v>
      </c>
      <c r="B198">
        <v>3008</v>
      </c>
      <c r="C198" t="s">
        <v>48</v>
      </c>
      <c r="D198" s="19">
        <v>-407</v>
      </c>
    </row>
    <row r="199" spans="1:4" x14ac:dyDescent="0.45">
      <c r="A199" s="25">
        <v>43221</v>
      </c>
      <c r="B199">
        <v>3009</v>
      </c>
      <c r="C199" t="s">
        <v>49</v>
      </c>
      <c r="D199" s="19">
        <v>-279</v>
      </c>
    </row>
    <row r="200" spans="1:4" x14ac:dyDescent="0.45">
      <c r="A200" s="25">
        <v>43221</v>
      </c>
      <c r="B200">
        <v>4001</v>
      </c>
      <c r="C200" t="s">
        <v>52</v>
      </c>
      <c r="D200" s="19">
        <v>-140</v>
      </c>
    </row>
    <row r="201" spans="1:4" x14ac:dyDescent="0.45">
      <c r="A201" s="25">
        <v>43221</v>
      </c>
      <c r="B201">
        <v>4002</v>
      </c>
      <c r="C201" t="s">
        <v>53</v>
      </c>
      <c r="D201" s="19">
        <v>-670</v>
      </c>
    </row>
    <row r="202" spans="1:4" x14ac:dyDescent="0.45">
      <c r="A202" s="25">
        <v>43221</v>
      </c>
      <c r="B202">
        <v>4003</v>
      </c>
      <c r="C202" t="s">
        <v>54</v>
      </c>
      <c r="D202" s="19">
        <v>-140</v>
      </c>
    </row>
    <row r="203" spans="1:4" x14ac:dyDescent="0.45">
      <c r="A203" s="25">
        <v>43221</v>
      </c>
      <c r="B203">
        <v>5001</v>
      </c>
      <c r="C203" t="s">
        <v>57</v>
      </c>
      <c r="D203" s="19">
        <v>-26227</v>
      </c>
    </row>
    <row r="204" spans="1:4" x14ac:dyDescent="0.45">
      <c r="A204" s="25">
        <v>43221</v>
      </c>
      <c r="B204">
        <v>5002</v>
      </c>
      <c r="C204" t="s">
        <v>58</v>
      </c>
      <c r="D204" s="19">
        <v>-59143</v>
      </c>
    </row>
    <row r="205" spans="1:4" x14ac:dyDescent="0.45">
      <c r="A205" s="25">
        <v>43221</v>
      </c>
      <c r="B205">
        <v>5003</v>
      </c>
      <c r="C205" t="s">
        <v>59</v>
      </c>
      <c r="D205" s="19">
        <v>-75372</v>
      </c>
    </row>
    <row r="206" spans="1:4" x14ac:dyDescent="0.45">
      <c r="A206" s="25">
        <v>43221</v>
      </c>
      <c r="B206">
        <v>5004</v>
      </c>
      <c r="C206" t="s">
        <v>60</v>
      </c>
      <c r="D206" s="19">
        <v>-46074</v>
      </c>
    </row>
    <row r="207" spans="1:4" x14ac:dyDescent="0.45">
      <c r="A207" s="25">
        <v>43221</v>
      </c>
      <c r="B207">
        <v>5005</v>
      </c>
      <c r="C207" t="s">
        <v>61</v>
      </c>
      <c r="D207" s="19">
        <v>-23527</v>
      </c>
    </row>
    <row r="208" spans="1:4" x14ac:dyDescent="0.45">
      <c r="A208" s="25">
        <v>43221</v>
      </c>
      <c r="B208">
        <v>5006</v>
      </c>
      <c r="C208" t="s">
        <v>62</v>
      </c>
      <c r="D208" s="19">
        <v>-87684</v>
      </c>
    </row>
    <row r="209" spans="1:4" x14ac:dyDescent="0.45">
      <c r="A209" s="25">
        <v>43221</v>
      </c>
      <c r="B209">
        <v>5007</v>
      </c>
      <c r="C209" t="s">
        <v>63</v>
      </c>
      <c r="D209" s="19">
        <v>-94122</v>
      </c>
    </row>
    <row r="210" spans="1:4" x14ac:dyDescent="0.45">
      <c r="A210" s="25">
        <v>43221</v>
      </c>
      <c r="B210">
        <v>5008</v>
      </c>
      <c r="C210" t="s">
        <v>64</v>
      </c>
      <c r="D210" s="19">
        <v>-60589</v>
      </c>
    </row>
    <row r="211" spans="1:4" x14ac:dyDescent="0.45">
      <c r="A211" s="25">
        <v>43221</v>
      </c>
      <c r="B211">
        <v>5009</v>
      </c>
      <c r="C211" t="s">
        <v>65</v>
      </c>
      <c r="D211" s="19">
        <v>-93417</v>
      </c>
    </row>
    <row r="212" spans="1:4" x14ac:dyDescent="0.45">
      <c r="A212" s="25">
        <v>43221</v>
      </c>
      <c r="B212">
        <v>6002</v>
      </c>
      <c r="C212" t="s">
        <v>68</v>
      </c>
      <c r="D212" s="19">
        <v>-291</v>
      </c>
    </row>
    <row r="213" spans="1:4" x14ac:dyDescent="0.45">
      <c r="A213" s="25">
        <v>43221</v>
      </c>
      <c r="B213">
        <v>6003</v>
      </c>
      <c r="C213" t="s">
        <v>69</v>
      </c>
      <c r="D213" s="19">
        <v>-49</v>
      </c>
    </row>
    <row r="214" spans="1:4" x14ac:dyDescent="0.45">
      <c r="A214" s="25">
        <v>43221</v>
      </c>
      <c r="B214">
        <v>6004</v>
      </c>
      <c r="C214" t="s">
        <v>70</v>
      </c>
      <c r="D214" s="19">
        <v>-712</v>
      </c>
    </row>
    <row r="215" spans="1:4" x14ac:dyDescent="0.45">
      <c r="A215" s="25">
        <v>43221</v>
      </c>
      <c r="B215">
        <v>6005</v>
      </c>
      <c r="C215" t="s">
        <v>71</v>
      </c>
      <c r="D215" s="19">
        <v>-105</v>
      </c>
    </row>
    <row r="216" spans="1:4" x14ac:dyDescent="0.45">
      <c r="A216" s="25">
        <v>43221</v>
      </c>
      <c r="B216">
        <v>6006</v>
      </c>
      <c r="C216" t="s">
        <v>72</v>
      </c>
      <c r="D216" s="19">
        <v>-897</v>
      </c>
    </row>
    <row r="217" spans="1:4" x14ac:dyDescent="0.45">
      <c r="A217" s="25">
        <v>43252</v>
      </c>
      <c r="B217">
        <v>2001</v>
      </c>
      <c r="C217" t="s">
        <v>22</v>
      </c>
      <c r="D217" s="19">
        <v>-569</v>
      </c>
    </row>
    <row r="218" spans="1:4" x14ac:dyDescent="0.45">
      <c r="A218" s="25">
        <v>43252</v>
      </c>
      <c r="B218">
        <v>2002</v>
      </c>
      <c r="C218" t="s">
        <v>23</v>
      </c>
      <c r="D218" s="19">
        <v>-435</v>
      </c>
    </row>
    <row r="219" spans="1:4" x14ac:dyDescent="0.45">
      <c r="A219" s="25">
        <v>43252</v>
      </c>
      <c r="B219">
        <v>2003</v>
      </c>
      <c r="C219" t="s">
        <v>24</v>
      </c>
      <c r="D219" s="19">
        <v>-562</v>
      </c>
    </row>
    <row r="220" spans="1:4" x14ac:dyDescent="0.45">
      <c r="A220" s="25">
        <v>43252</v>
      </c>
      <c r="B220">
        <v>2004</v>
      </c>
      <c r="C220" t="s">
        <v>25</v>
      </c>
      <c r="D220" s="19">
        <v>-893</v>
      </c>
    </row>
    <row r="221" spans="1:4" x14ac:dyDescent="0.45">
      <c r="A221" s="25">
        <v>43252</v>
      </c>
      <c r="B221">
        <v>2005</v>
      </c>
      <c r="C221" t="s">
        <v>26</v>
      </c>
      <c r="D221" s="19">
        <v>-845</v>
      </c>
    </row>
    <row r="222" spans="1:4" x14ac:dyDescent="0.45">
      <c r="A222" s="25">
        <v>43252</v>
      </c>
      <c r="B222">
        <v>2006</v>
      </c>
      <c r="C222" t="s">
        <v>27</v>
      </c>
      <c r="D222" s="19">
        <v>-597</v>
      </c>
    </row>
    <row r="223" spans="1:4" x14ac:dyDescent="0.45">
      <c r="A223" s="25">
        <v>43252</v>
      </c>
      <c r="B223">
        <v>2007</v>
      </c>
      <c r="C223" t="s">
        <v>28</v>
      </c>
      <c r="D223" s="19">
        <v>-464</v>
      </c>
    </row>
    <row r="224" spans="1:4" x14ac:dyDescent="0.45">
      <c r="A224" s="25">
        <v>43252</v>
      </c>
      <c r="B224">
        <v>2008</v>
      </c>
      <c r="C224" t="s">
        <v>29</v>
      </c>
      <c r="D224" s="19">
        <v>-17</v>
      </c>
    </row>
    <row r="225" spans="1:4" x14ac:dyDescent="0.45">
      <c r="A225" s="25">
        <v>43252</v>
      </c>
      <c r="B225">
        <v>2009</v>
      </c>
      <c r="C225" t="s">
        <v>30</v>
      </c>
      <c r="D225" s="19">
        <v>-707</v>
      </c>
    </row>
    <row r="226" spans="1:4" x14ac:dyDescent="0.45">
      <c r="A226" s="25">
        <v>43252</v>
      </c>
      <c r="B226">
        <v>2010</v>
      </c>
      <c r="C226" t="s">
        <v>31</v>
      </c>
      <c r="D226" s="19">
        <v>-226</v>
      </c>
    </row>
    <row r="227" spans="1:4" x14ac:dyDescent="0.45">
      <c r="A227" s="25">
        <v>43252</v>
      </c>
      <c r="B227">
        <v>2011</v>
      </c>
      <c r="C227" t="s">
        <v>32</v>
      </c>
      <c r="D227" s="19">
        <v>-763</v>
      </c>
    </row>
    <row r="228" spans="1:4" x14ac:dyDescent="0.45">
      <c r="A228" s="25">
        <v>43252</v>
      </c>
      <c r="B228">
        <v>2012</v>
      </c>
      <c r="C228" t="s">
        <v>33</v>
      </c>
      <c r="D228" s="19">
        <v>-284</v>
      </c>
    </row>
    <row r="229" spans="1:4" x14ac:dyDescent="0.45">
      <c r="A229" s="25">
        <v>43252</v>
      </c>
      <c r="B229">
        <v>2013</v>
      </c>
      <c r="C229" t="s">
        <v>34</v>
      </c>
      <c r="D229" s="19">
        <v>-659</v>
      </c>
    </row>
    <row r="230" spans="1:4" x14ac:dyDescent="0.45">
      <c r="A230" s="25">
        <v>43252</v>
      </c>
      <c r="B230">
        <v>2014</v>
      </c>
      <c r="C230" t="s">
        <v>35</v>
      </c>
      <c r="D230" s="19">
        <v>-759</v>
      </c>
    </row>
    <row r="231" spans="1:4" x14ac:dyDescent="0.45">
      <c r="A231" s="25">
        <v>43252</v>
      </c>
      <c r="B231">
        <v>2015</v>
      </c>
      <c r="C231" t="s">
        <v>36</v>
      </c>
      <c r="D231" s="19">
        <v>-773</v>
      </c>
    </row>
    <row r="232" spans="1:4" x14ac:dyDescent="0.45">
      <c r="A232" s="25">
        <v>43252</v>
      </c>
      <c r="B232">
        <v>2016</v>
      </c>
      <c r="C232" t="s">
        <v>37</v>
      </c>
      <c r="D232" s="19">
        <v>-43</v>
      </c>
    </row>
    <row r="233" spans="1:4" x14ac:dyDescent="0.45">
      <c r="A233" s="25">
        <v>43252</v>
      </c>
      <c r="B233">
        <v>2017</v>
      </c>
      <c r="C233" t="s">
        <v>38</v>
      </c>
      <c r="D233" s="19">
        <v>-172</v>
      </c>
    </row>
    <row r="234" spans="1:4" x14ac:dyDescent="0.45">
      <c r="A234" s="25">
        <v>43252</v>
      </c>
      <c r="B234">
        <v>3001</v>
      </c>
      <c r="C234" t="s">
        <v>41</v>
      </c>
      <c r="D234" s="19">
        <v>-240</v>
      </c>
    </row>
    <row r="235" spans="1:4" x14ac:dyDescent="0.45">
      <c r="A235" s="25">
        <v>43252</v>
      </c>
      <c r="B235">
        <v>3002</v>
      </c>
      <c r="C235" t="s">
        <v>42</v>
      </c>
      <c r="D235" s="19">
        <v>-191</v>
      </c>
    </row>
    <row r="236" spans="1:4" x14ac:dyDescent="0.45">
      <c r="A236" s="25">
        <v>43252</v>
      </c>
      <c r="B236">
        <v>3003</v>
      </c>
      <c r="C236" t="s">
        <v>43</v>
      </c>
      <c r="D236" s="19">
        <v>-604</v>
      </c>
    </row>
    <row r="237" spans="1:4" x14ac:dyDescent="0.45">
      <c r="A237" s="25">
        <v>43252</v>
      </c>
      <c r="B237">
        <v>3004</v>
      </c>
      <c r="C237" t="s">
        <v>44</v>
      </c>
      <c r="D237" s="19">
        <v>-649</v>
      </c>
    </row>
    <row r="238" spans="1:4" x14ac:dyDescent="0.45">
      <c r="A238" s="25">
        <v>43252</v>
      </c>
      <c r="B238">
        <v>3005</v>
      </c>
      <c r="C238" t="s">
        <v>45</v>
      </c>
      <c r="D238" s="19">
        <v>-492</v>
      </c>
    </row>
    <row r="239" spans="1:4" x14ac:dyDescent="0.45">
      <c r="A239" s="25">
        <v>43252</v>
      </c>
      <c r="B239">
        <v>3006</v>
      </c>
      <c r="C239" t="s">
        <v>46</v>
      </c>
      <c r="D239" s="19">
        <v>-729</v>
      </c>
    </row>
    <row r="240" spans="1:4" x14ac:dyDescent="0.45">
      <c r="A240" s="25">
        <v>43252</v>
      </c>
      <c r="B240">
        <v>3007</v>
      </c>
      <c r="C240" t="s">
        <v>47</v>
      </c>
      <c r="D240" s="19">
        <v>-323</v>
      </c>
    </row>
    <row r="241" spans="1:4" x14ac:dyDescent="0.45">
      <c r="A241" s="25">
        <v>43252</v>
      </c>
      <c r="B241">
        <v>3008</v>
      </c>
      <c r="C241" t="s">
        <v>48</v>
      </c>
      <c r="D241" s="19">
        <v>-780</v>
      </c>
    </row>
    <row r="242" spans="1:4" x14ac:dyDescent="0.45">
      <c r="A242" s="25">
        <v>43252</v>
      </c>
      <c r="B242">
        <v>3009</v>
      </c>
      <c r="C242" t="s">
        <v>49</v>
      </c>
      <c r="D242" s="19">
        <v>-90</v>
      </c>
    </row>
    <row r="243" spans="1:4" x14ac:dyDescent="0.45">
      <c r="A243" s="25">
        <v>43252</v>
      </c>
      <c r="B243">
        <v>4001</v>
      </c>
      <c r="C243" t="s">
        <v>52</v>
      </c>
      <c r="D243" s="19">
        <v>-209</v>
      </c>
    </row>
    <row r="244" spans="1:4" x14ac:dyDescent="0.45">
      <c r="A244" s="25">
        <v>43252</v>
      </c>
      <c r="B244">
        <v>4002</v>
      </c>
      <c r="C244" t="s">
        <v>53</v>
      </c>
      <c r="D244" s="19">
        <v>-761</v>
      </c>
    </row>
    <row r="245" spans="1:4" x14ac:dyDescent="0.45">
      <c r="A245" s="25">
        <v>43252</v>
      </c>
      <c r="B245">
        <v>4003</v>
      </c>
      <c r="C245" t="s">
        <v>54</v>
      </c>
      <c r="D245" s="19">
        <v>-321</v>
      </c>
    </row>
    <row r="246" spans="1:4" x14ac:dyDescent="0.45">
      <c r="A246" s="25">
        <v>43252</v>
      </c>
      <c r="B246">
        <v>5001</v>
      </c>
      <c r="C246" t="s">
        <v>57</v>
      </c>
      <c r="D246" s="19">
        <v>-94048</v>
      </c>
    </row>
    <row r="247" spans="1:4" x14ac:dyDescent="0.45">
      <c r="A247" s="25">
        <v>43252</v>
      </c>
      <c r="B247">
        <v>5002</v>
      </c>
      <c r="C247" t="s">
        <v>58</v>
      </c>
      <c r="D247" s="19">
        <v>-84</v>
      </c>
    </row>
    <row r="248" spans="1:4" x14ac:dyDescent="0.45">
      <c r="A248" s="25">
        <v>43252</v>
      </c>
      <c r="B248">
        <v>5003</v>
      </c>
      <c r="C248" t="s">
        <v>59</v>
      </c>
      <c r="D248" s="19">
        <v>-91057</v>
      </c>
    </row>
    <row r="249" spans="1:4" x14ac:dyDescent="0.45">
      <c r="A249" s="25">
        <v>43252</v>
      </c>
      <c r="B249">
        <v>5004</v>
      </c>
      <c r="C249" t="s">
        <v>60</v>
      </c>
      <c r="D249" s="19">
        <v>-73465</v>
      </c>
    </row>
    <row r="250" spans="1:4" x14ac:dyDescent="0.45">
      <c r="A250" s="25">
        <v>43252</v>
      </c>
      <c r="B250">
        <v>5005</v>
      </c>
      <c r="C250" t="s">
        <v>61</v>
      </c>
      <c r="D250" s="19">
        <v>-66014</v>
      </c>
    </row>
    <row r="251" spans="1:4" x14ac:dyDescent="0.45">
      <c r="A251" s="25">
        <v>43252</v>
      </c>
      <c r="B251">
        <v>5006</v>
      </c>
      <c r="C251" t="s">
        <v>62</v>
      </c>
      <c r="D251" s="19">
        <v>-43849</v>
      </c>
    </row>
    <row r="252" spans="1:4" x14ac:dyDescent="0.45">
      <c r="A252" s="25">
        <v>43252</v>
      </c>
      <c r="B252">
        <v>5007</v>
      </c>
      <c r="C252" t="s">
        <v>63</v>
      </c>
      <c r="D252" s="19">
        <v>-93792</v>
      </c>
    </row>
    <row r="253" spans="1:4" x14ac:dyDescent="0.45">
      <c r="A253" s="25">
        <v>43252</v>
      </c>
      <c r="B253">
        <v>5008</v>
      </c>
      <c r="C253" t="s">
        <v>64</v>
      </c>
      <c r="D253" s="19">
        <v>-60600</v>
      </c>
    </row>
    <row r="254" spans="1:4" x14ac:dyDescent="0.45">
      <c r="A254" s="25">
        <v>43252</v>
      </c>
      <c r="B254">
        <v>5009</v>
      </c>
      <c r="C254" t="s">
        <v>65</v>
      </c>
      <c r="D254" s="19">
        <v>-13322</v>
      </c>
    </row>
    <row r="255" spans="1:4" x14ac:dyDescent="0.45">
      <c r="A255" s="25">
        <v>43252</v>
      </c>
      <c r="B255">
        <v>6002</v>
      </c>
      <c r="C255" t="s">
        <v>68</v>
      </c>
      <c r="D255" s="19">
        <v>-853</v>
      </c>
    </row>
    <row r="256" spans="1:4" x14ac:dyDescent="0.45">
      <c r="A256" s="25">
        <v>43252</v>
      </c>
      <c r="B256">
        <v>6003</v>
      </c>
      <c r="C256" t="s">
        <v>69</v>
      </c>
      <c r="D256" s="19">
        <v>-224</v>
      </c>
    </row>
    <row r="257" spans="1:4" x14ac:dyDescent="0.45">
      <c r="A257" s="25">
        <v>43252</v>
      </c>
      <c r="B257">
        <v>6004</v>
      </c>
      <c r="C257" t="s">
        <v>70</v>
      </c>
      <c r="D257" s="19">
        <v>-879</v>
      </c>
    </row>
    <row r="258" spans="1:4" x14ac:dyDescent="0.45">
      <c r="A258" s="25">
        <v>43252</v>
      </c>
      <c r="B258">
        <v>6005</v>
      </c>
      <c r="C258" t="s">
        <v>71</v>
      </c>
      <c r="D258" s="19">
        <v>-368</v>
      </c>
    </row>
    <row r="259" spans="1:4" x14ac:dyDescent="0.45">
      <c r="A259" s="25">
        <v>43252</v>
      </c>
      <c r="B259">
        <v>6006</v>
      </c>
      <c r="C259" t="s">
        <v>72</v>
      </c>
      <c r="D259" s="19">
        <v>-404</v>
      </c>
    </row>
    <row r="260" spans="1:4" x14ac:dyDescent="0.45">
      <c r="A260" s="25">
        <v>43282</v>
      </c>
      <c r="B260">
        <v>2001</v>
      </c>
      <c r="C260" t="s">
        <v>22</v>
      </c>
      <c r="D260" s="19">
        <v>-612</v>
      </c>
    </row>
    <row r="261" spans="1:4" x14ac:dyDescent="0.45">
      <c r="A261" s="25">
        <v>43282</v>
      </c>
      <c r="B261">
        <v>2002</v>
      </c>
      <c r="C261" t="s">
        <v>23</v>
      </c>
      <c r="D261" s="19">
        <v>-354</v>
      </c>
    </row>
    <row r="262" spans="1:4" x14ac:dyDescent="0.45">
      <c r="A262" s="25">
        <v>43282</v>
      </c>
      <c r="B262">
        <v>2003</v>
      </c>
      <c r="C262" t="s">
        <v>24</v>
      </c>
      <c r="D262" s="19">
        <v>-958</v>
      </c>
    </row>
    <row r="263" spans="1:4" x14ac:dyDescent="0.45">
      <c r="A263" s="25">
        <v>43282</v>
      </c>
      <c r="B263">
        <v>2004</v>
      </c>
      <c r="C263" t="s">
        <v>25</v>
      </c>
      <c r="D263" s="19">
        <v>-769</v>
      </c>
    </row>
    <row r="264" spans="1:4" x14ac:dyDescent="0.45">
      <c r="A264" s="25">
        <v>43282</v>
      </c>
      <c r="B264">
        <v>2005</v>
      </c>
      <c r="C264" t="s">
        <v>26</v>
      </c>
      <c r="D264" s="19">
        <v>-437</v>
      </c>
    </row>
    <row r="265" spans="1:4" x14ac:dyDescent="0.45">
      <c r="A265" s="25">
        <v>43282</v>
      </c>
      <c r="B265">
        <v>2006</v>
      </c>
      <c r="C265" t="s">
        <v>27</v>
      </c>
      <c r="D265" s="19">
        <v>-82</v>
      </c>
    </row>
    <row r="266" spans="1:4" x14ac:dyDescent="0.45">
      <c r="A266" s="25">
        <v>43282</v>
      </c>
      <c r="B266">
        <v>2007</v>
      </c>
      <c r="C266" t="s">
        <v>28</v>
      </c>
      <c r="D266" s="19">
        <v>-585</v>
      </c>
    </row>
    <row r="267" spans="1:4" x14ac:dyDescent="0.45">
      <c r="A267" s="25">
        <v>43282</v>
      </c>
      <c r="B267">
        <v>2008</v>
      </c>
      <c r="C267" t="s">
        <v>29</v>
      </c>
      <c r="D267" s="19">
        <v>-774</v>
      </c>
    </row>
    <row r="268" spans="1:4" x14ac:dyDescent="0.45">
      <c r="A268" s="25">
        <v>43282</v>
      </c>
      <c r="B268">
        <v>2009</v>
      </c>
      <c r="C268" t="s">
        <v>30</v>
      </c>
      <c r="D268" s="19">
        <v>-96</v>
      </c>
    </row>
    <row r="269" spans="1:4" x14ac:dyDescent="0.45">
      <c r="A269" s="25">
        <v>43282</v>
      </c>
      <c r="B269">
        <v>2010</v>
      </c>
      <c r="C269" t="s">
        <v>31</v>
      </c>
      <c r="D269" s="19">
        <v>-385</v>
      </c>
    </row>
    <row r="270" spans="1:4" x14ac:dyDescent="0.45">
      <c r="A270" s="25">
        <v>43282</v>
      </c>
      <c r="B270">
        <v>2011</v>
      </c>
      <c r="C270" t="s">
        <v>32</v>
      </c>
      <c r="D270" s="19">
        <v>-937</v>
      </c>
    </row>
    <row r="271" spans="1:4" x14ac:dyDescent="0.45">
      <c r="A271" s="25">
        <v>43282</v>
      </c>
      <c r="B271">
        <v>2012</v>
      </c>
      <c r="C271" t="s">
        <v>33</v>
      </c>
      <c r="D271" s="19">
        <v>-738</v>
      </c>
    </row>
    <row r="272" spans="1:4" x14ac:dyDescent="0.45">
      <c r="A272" s="25">
        <v>43282</v>
      </c>
      <c r="B272">
        <v>2013</v>
      </c>
      <c r="C272" t="s">
        <v>34</v>
      </c>
      <c r="D272" s="19">
        <v>-675</v>
      </c>
    </row>
    <row r="273" spans="1:4" x14ac:dyDescent="0.45">
      <c r="A273" s="25">
        <v>43282</v>
      </c>
      <c r="B273">
        <v>2014</v>
      </c>
      <c r="C273" t="s">
        <v>35</v>
      </c>
      <c r="D273" s="19">
        <v>-909</v>
      </c>
    </row>
    <row r="274" spans="1:4" x14ac:dyDescent="0.45">
      <c r="A274" s="25">
        <v>43282</v>
      </c>
      <c r="B274">
        <v>2015</v>
      </c>
      <c r="C274" t="s">
        <v>36</v>
      </c>
      <c r="D274" s="19">
        <v>-372</v>
      </c>
    </row>
    <row r="275" spans="1:4" x14ac:dyDescent="0.45">
      <c r="A275" s="25">
        <v>43282</v>
      </c>
      <c r="B275">
        <v>2016</v>
      </c>
      <c r="C275" t="s">
        <v>37</v>
      </c>
      <c r="D275" s="19">
        <v>-763</v>
      </c>
    </row>
    <row r="276" spans="1:4" x14ac:dyDescent="0.45">
      <c r="A276" s="25">
        <v>43282</v>
      </c>
      <c r="B276">
        <v>2017</v>
      </c>
      <c r="C276" t="s">
        <v>38</v>
      </c>
      <c r="D276" s="19">
        <v>-732</v>
      </c>
    </row>
    <row r="277" spans="1:4" x14ac:dyDescent="0.45">
      <c r="A277" s="25">
        <v>43282</v>
      </c>
      <c r="B277">
        <v>3001</v>
      </c>
      <c r="C277" t="s">
        <v>41</v>
      </c>
      <c r="D277" s="19">
        <v>-268</v>
      </c>
    </row>
    <row r="278" spans="1:4" x14ac:dyDescent="0.45">
      <c r="A278" s="25">
        <v>43282</v>
      </c>
      <c r="B278">
        <v>3002</v>
      </c>
      <c r="C278" t="s">
        <v>42</v>
      </c>
      <c r="D278" s="19">
        <v>-9</v>
      </c>
    </row>
    <row r="279" spans="1:4" x14ac:dyDescent="0.45">
      <c r="A279" s="25">
        <v>43282</v>
      </c>
      <c r="B279">
        <v>3003</v>
      </c>
      <c r="C279" t="s">
        <v>43</v>
      </c>
      <c r="D279" s="19">
        <v>-418</v>
      </c>
    </row>
    <row r="280" spans="1:4" x14ac:dyDescent="0.45">
      <c r="A280" s="25">
        <v>43282</v>
      </c>
      <c r="B280">
        <v>3004</v>
      </c>
      <c r="C280" t="s">
        <v>44</v>
      </c>
      <c r="D280" s="19">
        <v>-626</v>
      </c>
    </row>
    <row r="281" spans="1:4" x14ac:dyDescent="0.45">
      <c r="A281" s="25">
        <v>43282</v>
      </c>
      <c r="B281">
        <v>3005</v>
      </c>
      <c r="C281" t="s">
        <v>45</v>
      </c>
      <c r="D281" s="19">
        <v>-225</v>
      </c>
    </row>
    <row r="282" spans="1:4" x14ac:dyDescent="0.45">
      <c r="A282" s="25">
        <v>43282</v>
      </c>
      <c r="B282">
        <v>3006</v>
      </c>
      <c r="C282" t="s">
        <v>46</v>
      </c>
      <c r="D282" s="19">
        <v>-365</v>
      </c>
    </row>
    <row r="283" spans="1:4" x14ac:dyDescent="0.45">
      <c r="A283" s="25">
        <v>43282</v>
      </c>
      <c r="B283">
        <v>3007</v>
      </c>
      <c r="C283" t="s">
        <v>47</v>
      </c>
      <c r="D283" s="19">
        <v>-221</v>
      </c>
    </row>
    <row r="284" spans="1:4" x14ac:dyDescent="0.45">
      <c r="A284" s="25">
        <v>43282</v>
      </c>
      <c r="B284">
        <v>3008</v>
      </c>
      <c r="C284" t="s">
        <v>48</v>
      </c>
      <c r="D284" s="19">
        <v>-804</v>
      </c>
    </row>
    <row r="285" spans="1:4" x14ac:dyDescent="0.45">
      <c r="A285" s="25">
        <v>43282</v>
      </c>
      <c r="B285">
        <v>3009</v>
      </c>
      <c r="C285" t="s">
        <v>49</v>
      </c>
      <c r="D285" s="19">
        <v>-88</v>
      </c>
    </row>
    <row r="286" spans="1:4" x14ac:dyDescent="0.45">
      <c r="A286" s="25">
        <v>43282</v>
      </c>
      <c r="B286">
        <v>4001</v>
      </c>
      <c r="C286" t="s">
        <v>52</v>
      </c>
      <c r="D286" s="19">
        <v>-712</v>
      </c>
    </row>
    <row r="287" spans="1:4" x14ac:dyDescent="0.45">
      <c r="A287" s="25">
        <v>43282</v>
      </c>
      <c r="B287">
        <v>4002</v>
      </c>
      <c r="C287" t="s">
        <v>53</v>
      </c>
      <c r="D287" s="19">
        <v>-374</v>
      </c>
    </row>
    <row r="288" spans="1:4" x14ac:dyDescent="0.45">
      <c r="A288" s="25">
        <v>43282</v>
      </c>
      <c r="B288">
        <v>4003</v>
      </c>
      <c r="C288" t="s">
        <v>54</v>
      </c>
      <c r="D288" s="19">
        <v>-700</v>
      </c>
    </row>
    <row r="289" spans="1:4" x14ac:dyDescent="0.45">
      <c r="A289" s="25">
        <v>43282</v>
      </c>
      <c r="B289">
        <v>5001</v>
      </c>
      <c r="C289" t="s">
        <v>57</v>
      </c>
      <c r="D289" s="19">
        <v>-60878</v>
      </c>
    </row>
    <row r="290" spans="1:4" x14ac:dyDescent="0.45">
      <c r="A290" s="25">
        <v>43282</v>
      </c>
      <c r="B290">
        <v>5002</v>
      </c>
      <c r="C290" t="s">
        <v>58</v>
      </c>
      <c r="D290" s="19">
        <v>-15899</v>
      </c>
    </row>
    <row r="291" spans="1:4" x14ac:dyDescent="0.45">
      <c r="A291" s="25">
        <v>43282</v>
      </c>
      <c r="B291">
        <v>5003</v>
      </c>
      <c r="C291" t="s">
        <v>59</v>
      </c>
      <c r="D291" s="19">
        <v>-68882</v>
      </c>
    </row>
    <row r="292" spans="1:4" x14ac:dyDescent="0.45">
      <c r="A292" s="25">
        <v>43282</v>
      </c>
      <c r="B292">
        <v>5004</v>
      </c>
      <c r="C292" t="s">
        <v>60</v>
      </c>
      <c r="D292" s="19">
        <v>-92078</v>
      </c>
    </row>
    <row r="293" spans="1:4" x14ac:dyDescent="0.45">
      <c r="A293" s="25">
        <v>43282</v>
      </c>
      <c r="B293">
        <v>5005</v>
      </c>
      <c r="C293" t="s">
        <v>61</v>
      </c>
      <c r="D293" s="19">
        <v>-86047</v>
      </c>
    </row>
    <row r="294" spans="1:4" x14ac:dyDescent="0.45">
      <c r="A294" s="25">
        <v>43282</v>
      </c>
      <c r="B294">
        <v>5006</v>
      </c>
      <c r="C294" t="s">
        <v>62</v>
      </c>
      <c r="D294" s="19">
        <v>-8992</v>
      </c>
    </row>
    <row r="295" spans="1:4" x14ac:dyDescent="0.45">
      <c r="A295" s="25">
        <v>43282</v>
      </c>
      <c r="B295">
        <v>5007</v>
      </c>
      <c r="C295" t="s">
        <v>63</v>
      </c>
      <c r="D295" s="19">
        <v>-53293</v>
      </c>
    </row>
    <row r="296" spans="1:4" x14ac:dyDescent="0.45">
      <c r="A296" s="25">
        <v>43282</v>
      </c>
      <c r="B296">
        <v>5008</v>
      </c>
      <c r="C296" t="s">
        <v>64</v>
      </c>
      <c r="D296" s="19">
        <v>-36703</v>
      </c>
    </row>
    <row r="297" spans="1:4" x14ac:dyDescent="0.45">
      <c r="A297" s="25">
        <v>43282</v>
      </c>
      <c r="B297">
        <v>5009</v>
      </c>
      <c r="C297" t="s">
        <v>65</v>
      </c>
      <c r="D297" s="19">
        <v>-14179</v>
      </c>
    </row>
    <row r="298" spans="1:4" x14ac:dyDescent="0.45">
      <c r="A298" s="25">
        <v>43282</v>
      </c>
      <c r="B298">
        <v>6002</v>
      </c>
      <c r="C298" t="s">
        <v>68</v>
      </c>
      <c r="D298" s="19">
        <v>-694</v>
      </c>
    </row>
    <row r="299" spans="1:4" x14ac:dyDescent="0.45">
      <c r="A299" s="25">
        <v>43282</v>
      </c>
      <c r="B299">
        <v>6003</v>
      </c>
      <c r="C299" t="s">
        <v>69</v>
      </c>
      <c r="D299" s="19">
        <v>-245</v>
      </c>
    </row>
    <row r="300" spans="1:4" x14ac:dyDescent="0.45">
      <c r="A300" s="25">
        <v>43282</v>
      </c>
      <c r="B300">
        <v>6004</v>
      </c>
      <c r="C300" t="s">
        <v>70</v>
      </c>
      <c r="D300" s="19">
        <v>-370</v>
      </c>
    </row>
    <row r="301" spans="1:4" x14ac:dyDescent="0.45">
      <c r="A301" s="25">
        <v>43282</v>
      </c>
      <c r="B301">
        <v>6005</v>
      </c>
      <c r="C301" t="s">
        <v>71</v>
      </c>
      <c r="D301" s="19">
        <v>-119</v>
      </c>
    </row>
    <row r="302" spans="1:4" x14ac:dyDescent="0.45">
      <c r="A302" s="25">
        <v>43282</v>
      </c>
      <c r="B302">
        <v>6006</v>
      </c>
      <c r="C302" t="s">
        <v>72</v>
      </c>
      <c r="D302" s="19">
        <v>-464</v>
      </c>
    </row>
    <row r="303" spans="1:4" x14ac:dyDescent="0.45">
      <c r="A303" s="25">
        <v>43313</v>
      </c>
      <c r="B303">
        <v>2001</v>
      </c>
      <c r="C303" t="s">
        <v>22</v>
      </c>
      <c r="D303" s="19">
        <v>-139</v>
      </c>
    </row>
    <row r="304" spans="1:4" x14ac:dyDescent="0.45">
      <c r="A304" s="25">
        <v>43313</v>
      </c>
      <c r="B304">
        <v>2002</v>
      </c>
      <c r="C304" t="s">
        <v>23</v>
      </c>
      <c r="D304" s="19">
        <v>-199</v>
      </c>
    </row>
    <row r="305" spans="1:4" x14ac:dyDescent="0.45">
      <c r="A305" s="25">
        <v>43313</v>
      </c>
      <c r="B305">
        <v>2003</v>
      </c>
      <c r="C305" t="s">
        <v>24</v>
      </c>
      <c r="D305" s="19">
        <v>-536</v>
      </c>
    </row>
    <row r="306" spans="1:4" x14ac:dyDescent="0.45">
      <c r="A306" s="25">
        <v>43313</v>
      </c>
      <c r="B306">
        <v>2004</v>
      </c>
      <c r="C306" t="s">
        <v>25</v>
      </c>
      <c r="D306" s="19">
        <v>-625</v>
      </c>
    </row>
    <row r="307" spans="1:4" x14ac:dyDescent="0.45">
      <c r="A307" s="25">
        <v>43313</v>
      </c>
      <c r="B307">
        <v>2005</v>
      </c>
      <c r="C307" t="s">
        <v>26</v>
      </c>
      <c r="D307" s="19">
        <v>-951</v>
      </c>
    </row>
    <row r="308" spans="1:4" x14ac:dyDescent="0.45">
      <c r="A308" s="25">
        <v>43313</v>
      </c>
      <c r="B308">
        <v>2006</v>
      </c>
      <c r="C308" t="s">
        <v>27</v>
      </c>
      <c r="D308" s="19">
        <v>-81</v>
      </c>
    </row>
    <row r="309" spans="1:4" x14ac:dyDescent="0.45">
      <c r="A309" s="25">
        <v>43313</v>
      </c>
      <c r="B309">
        <v>2007</v>
      </c>
      <c r="C309" t="s">
        <v>28</v>
      </c>
      <c r="D309" s="19">
        <v>-677</v>
      </c>
    </row>
    <row r="310" spans="1:4" x14ac:dyDescent="0.45">
      <c r="A310" s="25">
        <v>43313</v>
      </c>
      <c r="B310">
        <v>2008</v>
      </c>
      <c r="C310" t="s">
        <v>29</v>
      </c>
      <c r="D310" s="19">
        <v>-227</v>
      </c>
    </row>
    <row r="311" spans="1:4" x14ac:dyDescent="0.45">
      <c r="A311" s="25">
        <v>43313</v>
      </c>
      <c r="B311">
        <v>2009</v>
      </c>
      <c r="C311" t="s">
        <v>30</v>
      </c>
      <c r="D311" s="19">
        <v>-577</v>
      </c>
    </row>
    <row r="312" spans="1:4" x14ac:dyDescent="0.45">
      <c r="A312" s="25">
        <v>43313</v>
      </c>
      <c r="B312">
        <v>2010</v>
      </c>
      <c r="C312" t="s">
        <v>31</v>
      </c>
      <c r="D312" s="19">
        <v>-627</v>
      </c>
    </row>
    <row r="313" spans="1:4" x14ac:dyDescent="0.45">
      <c r="A313" s="25">
        <v>43313</v>
      </c>
      <c r="B313">
        <v>2011</v>
      </c>
      <c r="C313" t="s">
        <v>32</v>
      </c>
      <c r="D313" s="19">
        <v>-845</v>
      </c>
    </row>
    <row r="314" spans="1:4" x14ac:dyDescent="0.45">
      <c r="A314" s="25">
        <v>43313</v>
      </c>
      <c r="B314">
        <v>2012</v>
      </c>
      <c r="C314" t="s">
        <v>33</v>
      </c>
      <c r="D314" s="19">
        <v>-266</v>
      </c>
    </row>
    <row r="315" spans="1:4" x14ac:dyDescent="0.45">
      <c r="A315" s="25">
        <v>43313</v>
      </c>
      <c r="B315">
        <v>2013</v>
      </c>
      <c r="C315" t="s">
        <v>34</v>
      </c>
      <c r="D315" s="19">
        <v>-992</v>
      </c>
    </row>
    <row r="316" spans="1:4" x14ac:dyDescent="0.45">
      <c r="A316" s="25">
        <v>43313</v>
      </c>
      <c r="B316">
        <v>2014</v>
      </c>
      <c r="C316" t="s">
        <v>35</v>
      </c>
      <c r="D316" s="19">
        <v>-275</v>
      </c>
    </row>
    <row r="317" spans="1:4" x14ac:dyDescent="0.45">
      <c r="A317" s="25">
        <v>43313</v>
      </c>
      <c r="B317">
        <v>2015</v>
      </c>
      <c r="C317" t="s">
        <v>36</v>
      </c>
      <c r="D317" s="19">
        <v>-316</v>
      </c>
    </row>
    <row r="318" spans="1:4" x14ac:dyDescent="0.45">
      <c r="A318" s="25">
        <v>43313</v>
      </c>
      <c r="B318">
        <v>2016</v>
      </c>
      <c r="C318" t="s">
        <v>37</v>
      </c>
      <c r="D318" s="19">
        <v>-55</v>
      </c>
    </row>
    <row r="319" spans="1:4" x14ac:dyDescent="0.45">
      <c r="A319" s="25">
        <v>43313</v>
      </c>
      <c r="B319">
        <v>2017</v>
      </c>
      <c r="C319" t="s">
        <v>38</v>
      </c>
      <c r="D319" s="19">
        <v>-939</v>
      </c>
    </row>
    <row r="320" spans="1:4" x14ac:dyDescent="0.45">
      <c r="A320" s="25">
        <v>43313</v>
      </c>
      <c r="B320">
        <v>3001</v>
      </c>
      <c r="C320" t="s">
        <v>41</v>
      </c>
      <c r="D320" s="19">
        <v>-833</v>
      </c>
    </row>
    <row r="321" spans="1:4" x14ac:dyDescent="0.45">
      <c r="A321" s="25">
        <v>43313</v>
      </c>
      <c r="B321">
        <v>3002</v>
      </c>
      <c r="C321" t="s">
        <v>42</v>
      </c>
      <c r="D321" s="19">
        <v>-393</v>
      </c>
    </row>
    <row r="322" spans="1:4" x14ac:dyDescent="0.45">
      <c r="A322" s="25">
        <v>43313</v>
      </c>
      <c r="B322">
        <v>3003</v>
      </c>
      <c r="C322" t="s">
        <v>43</v>
      </c>
      <c r="D322" s="19">
        <v>-205</v>
      </c>
    </row>
    <row r="323" spans="1:4" x14ac:dyDescent="0.45">
      <c r="A323" s="25">
        <v>43313</v>
      </c>
      <c r="B323">
        <v>3004</v>
      </c>
      <c r="C323" t="s">
        <v>44</v>
      </c>
      <c r="D323" s="19">
        <v>-455</v>
      </c>
    </row>
    <row r="324" spans="1:4" x14ac:dyDescent="0.45">
      <c r="A324" s="25">
        <v>43313</v>
      </c>
      <c r="B324">
        <v>3005</v>
      </c>
      <c r="C324" t="s">
        <v>45</v>
      </c>
      <c r="D324" s="19">
        <v>-942</v>
      </c>
    </row>
    <row r="325" spans="1:4" x14ac:dyDescent="0.45">
      <c r="A325" s="25">
        <v>43313</v>
      </c>
      <c r="B325">
        <v>3006</v>
      </c>
      <c r="C325" t="s">
        <v>46</v>
      </c>
      <c r="D325" s="19">
        <v>-536</v>
      </c>
    </row>
    <row r="326" spans="1:4" x14ac:dyDescent="0.45">
      <c r="A326" s="25">
        <v>43313</v>
      </c>
      <c r="B326">
        <v>3007</v>
      </c>
      <c r="C326" t="s">
        <v>47</v>
      </c>
      <c r="D326" s="19">
        <v>-15</v>
      </c>
    </row>
    <row r="327" spans="1:4" x14ac:dyDescent="0.45">
      <c r="A327" s="25">
        <v>43313</v>
      </c>
      <c r="B327">
        <v>3008</v>
      </c>
      <c r="C327" t="s">
        <v>48</v>
      </c>
      <c r="D327" s="19">
        <v>-483</v>
      </c>
    </row>
    <row r="328" spans="1:4" x14ac:dyDescent="0.45">
      <c r="A328" s="25">
        <v>43313</v>
      </c>
      <c r="B328">
        <v>3009</v>
      </c>
      <c r="C328" t="s">
        <v>49</v>
      </c>
      <c r="D328" s="19">
        <v>-802</v>
      </c>
    </row>
    <row r="329" spans="1:4" x14ac:dyDescent="0.45">
      <c r="A329" s="25">
        <v>43313</v>
      </c>
      <c r="B329">
        <v>4001</v>
      </c>
      <c r="C329" t="s">
        <v>52</v>
      </c>
      <c r="D329" s="19">
        <v>-153</v>
      </c>
    </row>
    <row r="330" spans="1:4" x14ac:dyDescent="0.45">
      <c r="A330" s="25">
        <v>43313</v>
      </c>
      <c r="B330">
        <v>4002</v>
      </c>
      <c r="C330" t="s">
        <v>53</v>
      </c>
      <c r="D330" s="19">
        <v>-83</v>
      </c>
    </row>
    <row r="331" spans="1:4" x14ac:dyDescent="0.45">
      <c r="A331" s="25">
        <v>43313</v>
      </c>
      <c r="B331">
        <v>4003</v>
      </c>
      <c r="C331" t="s">
        <v>54</v>
      </c>
      <c r="D331" s="19">
        <v>-188</v>
      </c>
    </row>
    <row r="332" spans="1:4" x14ac:dyDescent="0.45">
      <c r="A332" s="25">
        <v>43313</v>
      </c>
      <c r="B332">
        <v>5001</v>
      </c>
      <c r="C332" t="s">
        <v>57</v>
      </c>
      <c r="D332" s="19">
        <v>-16040</v>
      </c>
    </row>
    <row r="333" spans="1:4" x14ac:dyDescent="0.45">
      <c r="A333" s="25">
        <v>43313</v>
      </c>
      <c r="B333">
        <v>5002</v>
      </c>
      <c r="C333" t="s">
        <v>58</v>
      </c>
      <c r="D333" s="19">
        <v>-57619</v>
      </c>
    </row>
    <row r="334" spans="1:4" x14ac:dyDescent="0.45">
      <c r="A334" s="25">
        <v>43313</v>
      </c>
      <c r="B334">
        <v>5003</v>
      </c>
      <c r="C334" t="s">
        <v>59</v>
      </c>
      <c r="D334" s="19">
        <v>-23967</v>
      </c>
    </row>
    <row r="335" spans="1:4" x14ac:dyDescent="0.45">
      <c r="A335" s="25">
        <v>43313</v>
      </c>
      <c r="B335">
        <v>5004</v>
      </c>
      <c r="C335" t="s">
        <v>60</v>
      </c>
      <c r="D335" s="19">
        <v>-46031</v>
      </c>
    </row>
    <row r="336" spans="1:4" x14ac:dyDescent="0.45">
      <c r="A336" s="25">
        <v>43313</v>
      </c>
      <c r="B336">
        <v>5005</v>
      </c>
      <c r="C336" t="s">
        <v>61</v>
      </c>
      <c r="D336" s="19">
        <v>-44565</v>
      </c>
    </row>
    <row r="337" spans="1:4" x14ac:dyDescent="0.45">
      <c r="A337" s="25">
        <v>43313</v>
      </c>
      <c r="B337">
        <v>5006</v>
      </c>
      <c r="C337" t="s">
        <v>62</v>
      </c>
      <c r="D337" s="19">
        <v>-872</v>
      </c>
    </row>
    <row r="338" spans="1:4" x14ac:dyDescent="0.45">
      <c r="A338" s="25">
        <v>43313</v>
      </c>
      <c r="B338">
        <v>5007</v>
      </c>
      <c r="C338" t="s">
        <v>63</v>
      </c>
      <c r="D338" s="19">
        <v>-93581</v>
      </c>
    </row>
    <row r="339" spans="1:4" x14ac:dyDescent="0.45">
      <c r="A339" s="25">
        <v>43313</v>
      </c>
      <c r="B339">
        <v>5008</v>
      </c>
      <c r="C339" t="s">
        <v>64</v>
      </c>
      <c r="D339" s="19">
        <v>-84065</v>
      </c>
    </row>
    <row r="340" spans="1:4" x14ac:dyDescent="0.45">
      <c r="A340" s="25">
        <v>43313</v>
      </c>
      <c r="B340">
        <v>5009</v>
      </c>
      <c r="C340" t="s">
        <v>65</v>
      </c>
      <c r="D340" s="19">
        <v>-87126</v>
      </c>
    </row>
    <row r="341" spans="1:4" x14ac:dyDescent="0.45">
      <c r="A341" s="25">
        <v>43313</v>
      </c>
      <c r="B341">
        <v>6002</v>
      </c>
      <c r="C341" t="s">
        <v>68</v>
      </c>
      <c r="D341" s="19">
        <v>-832</v>
      </c>
    </row>
    <row r="342" spans="1:4" x14ac:dyDescent="0.45">
      <c r="A342" s="25">
        <v>43313</v>
      </c>
      <c r="B342">
        <v>6003</v>
      </c>
      <c r="C342" t="s">
        <v>69</v>
      </c>
      <c r="D342" s="19">
        <v>-37</v>
      </c>
    </row>
    <row r="343" spans="1:4" x14ac:dyDescent="0.45">
      <c r="A343" s="25">
        <v>43313</v>
      </c>
      <c r="B343">
        <v>6004</v>
      </c>
      <c r="C343" t="s">
        <v>70</v>
      </c>
      <c r="D343" s="19">
        <v>-992</v>
      </c>
    </row>
    <row r="344" spans="1:4" x14ac:dyDescent="0.45">
      <c r="A344" s="25">
        <v>43313</v>
      </c>
      <c r="B344">
        <v>6005</v>
      </c>
      <c r="C344" t="s">
        <v>71</v>
      </c>
      <c r="D344" s="19">
        <v>-931</v>
      </c>
    </row>
    <row r="345" spans="1:4" x14ac:dyDescent="0.45">
      <c r="A345" s="25">
        <v>43313</v>
      </c>
      <c r="B345">
        <v>6006</v>
      </c>
      <c r="C345" t="s">
        <v>72</v>
      </c>
      <c r="D345" s="19">
        <v>-338</v>
      </c>
    </row>
    <row r="346" spans="1:4" x14ac:dyDescent="0.45">
      <c r="A346" s="25">
        <v>43344</v>
      </c>
      <c r="B346">
        <v>2001</v>
      </c>
      <c r="C346" t="s">
        <v>22</v>
      </c>
      <c r="D346" s="19">
        <v>-559</v>
      </c>
    </row>
    <row r="347" spans="1:4" x14ac:dyDescent="0.45">
      <c r="A347" s="25">
        <v>43344</v>
      </c>
      <c r="B347">
        <v>2002</v>
      </c>
      <c r="C347" t="s">
        <v>23</v>
      </c>
      <c r="D347" s="19">
        <v>-546</v>
      </c>
    </row>
    <row r="348" spans="1:4" x14ac:dyDescent="0.45">
      <c r="A348" s="25">
        <v>43344</v>
      </c>
      <c r="B348">
        <v>2003</v>
      </c>
      <c r="C348" t="s">
        <v>24</v>
      </c>
      <c r="D348" s="19">
        <v>-258</v>
      </c>
    </row>
    <row r="349" spans="1:4" x14ac:dyDescent="0.45">
      <c r="A349" s="25">
        <v>43344</v>
      </c>
      <c r="B349">
        <v>2004</v>
      </c>
      <c r="C349" t="s">
        <v>25</v>
      </c>
      <c r="D349" s="19">
        <v>-867</v>
      </c>
    </row>
    <row r="350" spans="1:4" x14ac:dyDescent="0.45">
      <c r="A350" s="25">
        <v>43344</v>
      </c>
      <c r="B350">
        <v>2005</v>
      </c>
      <c r="C350" t="s">
        <v>26</v>
      </c>
      <c r="D350" s="19">
        <v>-510</v>
      </c>
    </row>
    <row r="351" spans="1:4" x14ac:dyDescent="0.45">
      <c r="A351" s="25">
        <v>43344</v>
      </c>
      <c r="B351">
        <v>2006</v>
      </c>
      <c r="C351" t="s">
        <v>27</v>
      </c>
      <c r="D351" s="19">
        <v>-432</v>
      </c>
    </row>
    <row r="352" spans="1:4" x14ac:dyDescent="0.45">
      <c r="A352" s="25">
        <v>43344</v>
      </c>
      <c r="B352">
        <v>2007</v>
      </c>
      <c r="C352" t="s">
        <v>28</v>
      </c>
      <c r="D352" s="19">
        <v>-112</v>
      </c>
    </row>
    <row r="353" spans="1:4" x14ac:dyDescent="0.45">
      <c r="A353" s="25">
        <v>43344</v>
      </c>
      <c r="B353">
        <v>2008</v>
      </c>
      <c r="C353" t="s">
        <v>29</v>
      </c>
      <c r="D353" s="19">
        <v>-772</v>
      </c>
    </row>
    <row r="354" spans="1:4" x14ac:dyDescent="0.45">
      <c r="A354" s="25">
        <v>43344</v>
      </c>
      <c r="B354">
        <v>2009</v>
      </c>
      <c r="C354" t="s">
        <v>30</v>
      </c>
      <c r="D354" s="19">
        <v>-893</v>
      </c>
    </row>
    <row r="355" spans="1:4" x14ac:dyDescent="0.45">
      <c r="A355" s="25">
        <v>43344</v>
      </c>
      <c r="B355">
        <v>2010</v>
      </c>
      <c r="C355" t="s">
        <v>31</v>
      </c>
      <c r="D355" s="19">
        <v>-752</v>
      </c>
    </row>
    <row r="356" spans="1:4" x14ac:dyDescent="0.45">
      <c r="A356" s="25">
        <v>43344</v>
      </c>
      <c r="B356">
        <v>2011</v>
      </c>
      <c r="C356" t="s">
        <v>32</v>
      </c>
      <c r="D356" s="19">
        <v>-749</v>
      </c>
    </row>
    <row r="357" spans="1:4" x14ac:dyDescent="0.45">
      <c r="A357" s="25">
        <v>43344</v>
      </c>
      <c r="B357">
        <v>2012</v>
      </c>
      <c r="C357" t="s">
        <v>33</v>
      </c>
      <c r="D357" s="19">
        <v>-528</v>
      </c>
    </row>
    <row r="358" spans="1:4" x14ac:dyDescent="0.45">
      <c r="A358" s="25">
        <v>43344</v>
      </c>
      <c r="B358">
        <v>2013</v>
      </c>
      <c r="C358" t="s">
        <v>34</v>
      </c>
      <c r="D358" s="19">
        <v>-788</v>
      </c>
    </row>
    <row r="359" spans="1:4" x14ac:dyDescent="0.45">
      <c r="A359" s="25">
        <v>43344</v>
      </c>
      <c r="B359">
        <v>2014</v>
      </c>
      <c r="C359" t="s">
        <v>35</v>
      </c>
      <c r="D359" s="19">
        <v>-772</v>
      </c>
    </row>
    <row r="360" spans="1:4" x14ac:dyDescent="0.45">
      <c r="A360" s="25">
        <v>43344</v>
      </c>
      <c r="B360">
        <v>2015</v>
      </c>
      <c r="C360" t="s">
        <v>36</v>
      </c>
      <c r="D360" s="19">
        <v>-257</v>
      </c>
    </row>
    <row r="361" spans="1:4" x14ac:dyDescent="0.45">
      <c r="A361" s="25">
        <v>43344</v>
      </c>
      <c r="B361">
        <v>2016</v>
      </c>
      <c r="C361" t="s">
        <v>37</v>
      </c>
      <c r="D361" s="19">
        <v>-991</v>
      </c>
    </row>
    <row r="362" spans="1:4" x14ac:dyDescent="0.45">
      <c r="A362" s="25">
        <v>43344</v>
      </c>
      <c r="B362">
        <v>2017</v>
      </c>
      <c r="C362" t="s">
        <v>38</v>
      </c>
      <c r="D362" s="19">
        <v>-820</v>
      </c>
    </row>
    <row r="363" spans="1:4" x14ac:dyDescent="0.45">
      <c r="A363" s="25">
        <v>43344</v>
      </c>
      <c r="B363">
        <v>3001</v>
      </c>
      <c r="C363" t="s">
        <v>41</v>
      </c>
      <c r="D363" s="19">
        <v>-17</v>
      </c>
    </row>
    <row r="364" spans="1:4" x14ac:dyDescent="0.45">
      <c r="A364" s="25">
        <v>43344</v>
      </c>
      <c r="B364">
        <v>3002</v>
      </c>
      <c r="C364" t="s">
        <v>42</v>
      </c>
      <c r="D364" s="19">
        <v>-345</v>
      </c>
    </row>
    <row r="365" spans="1:4" x14ac:dyDescent="0.45">
      <c r="A365" s="25">
        <v>43344</v>
      </c>
      <c r="B365">
        <v>3003</v>
      </c>
      <c r="C365" t="s">
        <v>43</v>
      </c>
      <c r="D365" s="19">
        <v>-494</v>
      </c>
    </row>
    <row r="366" spans="1:4" x14ac:dyDescent="0.45">
      <c r="A366" s="25">
        <v>43344</v>
      </c>
      <c r="B366">
        <v>3004</v>
      </c>
      <c r="C366" t="s">
        <v>44</v>
      </c>
      <c r="D366" s="19">
        <v>-23</v>
      </c>
    </row>
    <row r="367" spans="1:4" x14ac:dyDescent="0.45">
      <c r="A367" s="25">
        <v>43344</v>
      </c>
      <c r="B367">
        <v>3005</v>
      </c>
      <c r="C367" t="s">
        <v>45</v>
      </c>
      <c r="D367" s="19">
        <v>-553</v>
      </c>
    </row>
    <row r="368" spans="1:4" x14ac:dyDescent="0.45">
      <c r="A368" s="25">
        <v>43344</v>
      </c>
      <c r="B368">
        <v>3006</v>
      </c>
      <c r="C368" t="s">
        <v>46</v>
      </c>
      <c r="D368" s="19">
        <v>-675</v>
      </c>
    </row>
    <row r="369" spans="1:4" x14ac:dyDescent="0.45">
      <c r="A369" s="25">
        <v>43344</v>
      </c>
      <c r="B369">
        <v>3007</v>
      </c>
      <c r="C369" t="s">
        <v>47</v>
      </c>
      <c r="D369" s="19">
        <v>-17</v>
      </c>
    </row>
    <row r="370" spans="1:4" x14ac:dyDescent="0.45">
      <c r="A370" s="25">
        <v>43344</v>
      </c>
      <c r="B370">
        <v>3008</v>
      </c>
      <c r="C370" t="s">
        <v>48</v>
      </c>
      <c r="D370" s="19">
        <v>-492</v>
      </c>
    </row>
    <row r="371" spans="1:4" x14ac:dyDescent="0.45">
      <c r="A371" s="25">
        <v>43344</v>
      </c>
      <c r="B371">
        <v>3009</v>
      </c>
      <c r="C371" t="s">
        <v>49</v>
      </c>
      <c r="D371" s="19">
        <v>-475</v>
      </c>
    </row>
    <row r="372" spans="1:4" x14ac:dyDescent="0.45">
      <c r="A372" s="25">
        <v>43344</v>
      </c>
      <c r="B372">
        <v>4001</v>
      </c>
      <c r="C372" t="s">
        <v>52</v>
      </c>
      <c r="D372" s="19">
        <v>-587</v>
      </c>
    </row>
    <row r="373" spans="1:4" x14ac:dyDescent="0.45">
      <c r="A373" s="25">
        <v>43344</v>
      </c>
      <c r="B373">
        <v>4002</v>
      </c>
      <c r="C373" t="s">
        <v>53</v>
      </c>
      <c r="D373" s="19">
        <v>-307</v>
      </c>
    </row>
    <row r="374" spans="1:4" x14ac:dyDescent="0.45">
      <c r="A374" s="25">
        <v>43344</v>
      </c>
      <c r="B374">
        <v>4003</v>
      </c>
      <c r="C374" t="s">
        <v>54</v>
      </c>
      <c r="D374" s="19">
        <v>-565</v>
      </c>
    </row>
    <row r="375" spans="1:4" x14ac:dyDescent="0.45">
      <c r="A375" s="25">
        <v>43344</v>
      </c>
      <c r="B375">
        <v>5001</v>
      </c>
      <c r="C375" t="s">
        <v>57</v>
      </c>
      <c r="D375" s="19">
        <v>-94406</v>
      </c>
    </row>
    <row r="376" spans="1:4" x14ac:dyDescent="0.45">
      <c r="A376" s="25">
        <v>43344</v>
      </c>
      <c r="B376">
        <v>5002</v>
      </c>
      <c r="C376" t="s">
        <v>58</v>
      </c>
      <c r="D376" s="19">
        <v>-74242</v>
      </c>
    </row>
    <row r="377" spans="1:4" x14ac:dyDescent="0.45">
      <c r="A377" s="25">
        <v>43344</v>
      </c>
      <c r="B377">
        <v>5003</v>
      </c>
      <c r="C377" t="s">
        <v>59</v>
      </c>
      <c r="D377" s="19">
        <v>-42046</v>
      </c>
    </row>
    <row r="378" spans="1:4" x14ac:dyDescent="0.45">
      <c r="A378" s="25">
        <v>43344</v>
      </c>
      <c r="B378">
        <v>5004</v>
      </c>
      <c r="C378" t="s">
        <v>60</v>
      </c>
      <c r="D378" s="19">
        <v>-13914</v>
      </c>
    </row>
    <row r="379" spans="1:4" x14ac:dyDescent="0.45">
      <c r="A379" s="25">
        <v>43344</v>
      </c>
      <c r="B379">
        <v>5005</v>
      </c>
      <c r="C379" t="s">
        <v>61</v>
      </c>
      <c r="D379" s="19">
        <v>-38265</v>
      </c>
    </row>
    <row r="380" spans="1:4" x14ac:dyDescent="0.45">
      <c r="A380" s="25">
        <v>43344</v>
      </c>
      <c r="B380">
        <v>5006</v>
      </c>
      <c r="C380" t="s">
        <v>62</v>
      </c>
      <c r="D380" s="19">
        <v>-2320</v>
      </c>
    </row>
    <row r="381" spans="1:4" x14ac:dyDescent="0.45">
      <c r="A381" s="25">
        <v>43344</v>
      </c>
      <c r="B381">
        <v>5007</v>
      </c>
      <c r="C381" t="s">
        <v>63</v>
      </c>
      <c r="D381" s="19">
        <v>-9739</v>
      </c>
    </row>
    <row r="382" spans="1:4" x14ac:dyDescent="0.45">
      <c r="A382" s="25">
        <v>43344</v>
      </c>
      <c r="B382">
        <v>5008</v>
      </c>
      <c r="C382" t="s">
        <v>64</v>
      </c>
      <c r="D382" s="19">
        <v>-22642</v>
      </c>
    </row>
    <row r="383" spans="1:4" x14ac:dyDescent="0.45">
      <c r="A383" s="25">
        <v>43344</v>
      </c>
      <c r="B383">
        <v>5009</v>
      </c>
      <c r="C383" t="s">
        <v>65</v>
      </c>
      <c r="D383" s="19">
        <v>-74981</v>
      </c>
    </row>
    <row r="384" spans="1:4" x14ac:dyDescent="0.45">
      <c r="A384" s="25">
        <v>43344</v>
      </c>
      <c r="B384">
        <v>6002</v>
      </c>
      <c r="C384" t="s">
        <v>68</v>
      </c>
      <c r="D384" s="19">
        <v>-813</v>
      </c>
    </row>
    <row r="385" spans="1:4" x14ac:dyDescent="0.45">
      <c r="A385" s="25">
        <v>43344</v>
      </c>
      <c r="B385">
        <v>6003</v>
      </c>
      <c r="C385" t="s">
        <v>69</v>
      </c>
      <c r="D385" s="19">
        <v>-745</v>
      </c>
    </row>
    <row r="386" spans="1:4" x14ac:dyDescent="0.45">
      <c r="A386" s="25">
        <v>43344</v>
      </c>
      <c r="B386">
        <v>6004</v>
      </c>
      <c r="C386" t="s">
        <v>70</v>
      </c>
      <c r="D386" s="19">
        <v>-584</v>
      </c>
    </row>
    <row r="387" spans="1:4" x14ac:dyDescent="0.45">
      <c r="A387" s="25">
        <v>43344</v>
      </c>
      <c r="B387">
        <v>6005</v>
      </c>
      <c r="C387" t="s">
        <v>71</v>
      </c>
      <c r="D387" s="19">
        <v>-777</v>
      </c>
    </row>
    <row r="388" spans="1:4" x14ac:dyDescent="0.45">
      <c r="A388" s="25">
        <v>43344</v>
      </c>
      <c r="B388">
        <v>6006</v>
      </c>
      <c r="C388" t="s">
        <v>72</v>
      </c>
      <c r="D388" s="19">
        <v>-923</v>
      </c>
    </row>
    <row r="389" spans="1:4" x14ac:dyDescent="0.45">
      <c r="A389" s="25">
        <v>43374</v>
      </c>
      <c r="B389">
        <v>2001</v>
      </c>
      <c r="C389" t="s">
        <v>22</v>
      </c>
      <c r="D389" s="19">
        <v>-582</v>
      </c>
    </row>
    <row r="390" spans="1:4" x14ac:dyDescent="0.45">
      <c r="A390" s="25">
        <v>43374</v>
      </c>
      <c r="B390">
        <v>2002</v>
      </c>
      <c r="C390" t="s">
        <v>23</v>
      </c>
      <c r="D390" s="19">
        <v>-937</v>
      </c>
    </row>
    <row r="391" spans="1:4" x14ac:dyDescent="0.45">
      <c r="A391" s="25">
        <v>43374</v>
      </c>
      <c r="B391">
        <v>2003</v>
      </c>
      <c r="C391" t="s">
        <v>24</v>
      </c>
      <c r="D391" s="19">
        <v>-879</v>
      </c>
    </row>
    <row r="392" spans="1:4" x14ac:dyDescent="0.45">
      <c r="A392" s="25">
        <v>43374</v>
      </c>
      <c r="B392">
        <v>2004</v>
      </c>
      <c r="C392" t="s">
        <v>25</v>
      </c>
      <c r="D392" s="19">
        <v>-835</v>
      </c>
    </row>
    <row r="393" spans="1:4" x14ac:dyDescent="0.45">
      <c r="A393" s="25">
        <v>43374</v>
      </c>
      <c r="B393">
        <v>2005</v>
      </c>
      <c r="C393" t="s">
        <v>26</v>
      </c>
      <c r="D393" s="19">
        <v>-333</v>
      </c>
    </row>
    <row r="394" spans="1:4" x14ac:dyDescent="0.45">
      <c r="A394" s="25">
        <v>43374</v>
      </c>
      <c r="B394">
        <v>2006</v>
      </c>
      <c r="C394" t="s">
        <v>27</v>
      </c>
      <c r="D394" s="19">
        <v>-554</v>
      </c>
    </row>
    <row r="395" spans="1:4" x14ac:dyDescent="0.45">
      <c r="A395" s="25">
        <v>43374</v>
      </c>
      <c r="B395">
        <v>2007</v>
      </c>
      <c r="C395" t="s">
        <v>28</v>
      </c>
      <c r="D395" s="19">
        <v>-774</v>
      </c>
    </row>
    <row r="396" spans="1:4" x14ac:dyDescent="0.45">
      <c r="A396" s="25">
        <v>43374</v>
      </c>
      <c r="B396">
        <v>2008</v>
      </c>
      <c r="C396" t="s">
        <v>29</v>
      </c>
      <c r="D396" s="19">
        <v>-502</v>
      </c>
    </row>
    <row r="397" spans="1:4" x14ac:dyDescent="0.45">
      <c r="A397" s="25">
        <v>43374</v>
      </c>
      <c r="B397">
        <v>2009</v>
      </c>
      <c r="C397" t="s">
        <v>30</v>
      </c>
      <c r="D397" s="19">
        <v>-550</v>
      </c>
    </row>
    <row r="398" spans="1:4" x14ac:dyDescent="0.45">
      <c r="A398" s="25">
        <v>43374</v>
      </c>
      <c r="B398">
        <v>2010</v>
      </c>
      <c r="C398" t="s">
        <v>31</v>
      </c>
      <c r="D398" s="19">
        <v>-696</v>
      </c>
    </row>
    <row r="399" spans="1:4" x14ac:dyDescent="0.45">
      <c r="A399" s="25">
        <v>43374</v>
      </c>
      <c r="B399">
        <v>2011</v>
      </c>
      <c r="C399" t="s">
        <v>32</v>
      </c>
      <c r="D399" s="19">
        <v>-136</v>
      </c>
    </row>
    <row r="400" spans="1:4" x14ac:dyDescent="0.45">
      <c r="A400" s="25">
        <v>43374</v>
      </c>
      <c r="B400">
        <v>2012</v>
      </c>
      <c r="C400" t="s">
        <v>33</v>
      </c>
      <c r="D400" s="19">
        <v>-155</v>
      </c>
    </row>
    <row r="401" spans="1:4" x14ac:dyDescent="0.45">
      <c r="A401" s="25">
        <v>43374</v>
      </c>
      <c r="B401">
        <v>2013</v>
      </c>
      <c r="C401" t="s">
        <v>34</v>
      </c>
      <c r="D401" s="19">
        <v>-392</v>
      </c>
    </row>
    <row r="402" spans="1:4" x14ac:dyDescent="0.45">
      <c r="A402" s="25">
        <v>43374</v>
      </c>
      <c r="B402">
        <v>2014</v>
      </c>
      <c r="C402" t="s">
        <v>35</v>
      </c>
      <c r="D402" s="19">
        <v>-800</v>
      </c>
    </row>
    <row r="403" spans="1:4" x14ac:dyDescent="0.45">
      <c r="A403" s="25">
        <v>43374</v>
      </c>
      <c r="B403">
        <v>2015</v>
      </c>
      <c r="C403" t="s">
        <v>36</v>
      </c>
      <c r="D403" s="19">
        <v>-957</v>
      </c>
    </row>
    <row r="404" spans="1:4" x14ac:dyDescent="0.45">
      <c r="A404" s="25">
        <v>43374</v>
      </c>
      <c r="B404">
        <v>2016</v>
      </c>
      <c r="C404" t="s">
        <v>37</v>
      </c>
      <c r="D404" s="19">
        <v>-514</v>
      </c>
    </row>
    <row r="405" spans="1:4" x14ac:dyDescent="0.45">
      <c r="A405" s="25">
        <v>43374</v>
      </c>
      <c r="B405">
        <v>2017</v>
      </c>
      <c r="C405" t="s">
        <v>38</v>
      </c>
      <c r="D405" s="19">
        <v>-5</v>
      </c>
    </row>
    <row r="406" spans="1:4" x14ac:dyDescent="0.45">
      <c r="A406" s="25">
        <v>43374</v>
      </c>
      <c r="B406">
        <v>3001</v>
      </c>
      <c r="C406" t="s">
        <v>41</v>
      </c>
      <c r="D406" s="19">
        <v>-524</v>
      </c>
    </row>
    <row r="407" spans="1:4" x14ac:dyDescent="0.45">
      <c r="A407" s="25">
        <v>43374</v>
      </c>
      <c r="B407">
        <v>3002</v>
      </c>
      <c r="C407" t="s">
        <v>42</v>
      </c>
      <c r="D407" s="19">
        <v>-601</v>
      </c>
    </row>
    <row r="408" spans="1:4" x14ac:dyDescent="0.45">
      <c r="A408" s="25">
        <v>43374</v>
      </c>
      <c r="B408">
        <v>3003</v>
      </c>
      <c r="C408" t="s">
        <v>43</v>
      </c>
      <c r="D408" s="19">
        <v>-714</v>
      </c>
    </row>
    <row r="409" spans="1:4" x14ac:dyDescent="0.45">
      <c r="A409" s="25">
        <v>43374</v>
      </c>
      <c r="B409">
        <v>3004</v>
      </c>
      <c r="C409" t="s">
        <v>44</v>
      </c>
      <c r="D409" s="19">
        <v>-542</v>
      </c>
    </row>
    <row r="410" spans="1:4" x14ac:dyDescent="0.45">
      <c r="A410" s="25">
        <v>43374</v>
      </c>
      <c r="B410">
        <v>3005</v>
      </c>
      <c r="C410" t="s">
        <v>45</v>
      </c>
      <c r="D410" s="19">
        <v>-83</v>
      </c>
    </row>
    <row r="411" spans="1:4" x14ac:dyDescent="0.45">
      <c r="A411" s="25">
        <v>43374</v>
      </c>
      <c r="B411">
        <v>3006</v>
      </c>
      <c r="C411" t="s">
        <v>46</v>
      </c>
      <c r="D411" s="19">
        <v>-555</v>
      </c>
    </row>
    <row r="412" spans="1:4" x14ac:dyDescent="0.45">
      <c r="A412" s="25">
        <v>43374</v>
      </c>
      <c r="B412">
        <v>3007</v>
      </c>
      <c r="C412" t="s">
        <v>47</v>
      </c>
      <c r="D412" s="19">
        <v>-529</v>
      </c>
    </row>
    <row r="413" spans="1:4" x14ac:dyDescent="0.45">
      <c r="A413" s="25">
        <v>43374</v>
      </c>
      <c r="B413">
        <v>3008</v>
      </c>
      <c r="C413" t="s">
        <v>48</v>
      </c>
      <c r="D413" s="19">
        <v>-505</v>
      </c>
    </row>
    <row r="414" spans="1:4" x14ac:dyDescent="0.45">
      <c r="A414" s="25">
        <v>43374</v>
      </c>
      <c r="B414">
        <v>3009</v>
      </c>
      <c r="C414" t="s">
        <v>49</v>
      </c>
      <c r="D414" s="19">
        <v>-972</v>
      </c>
    </row>
    <row r="415" spans="1:4" x14ac:dyDescent="0.45">
      <c r="A415" s="25">
        <v>43374</v>
      </c>
      <c r="B415">
        <v>4001</v>
      </c>
      <c r="C415" t="s">
        <v>52</v>
      </c>
      <c r="D415" s="19">
        <v>-4</v>
      </c>
    </row>
    <row r="416" spans="1:4" x14ac:dyDescent="0.45">
      <c r="A416" s="25">
        <v>43374</v>
      </c>
      <c r="B416">
        <v>4002</v>
      </c>
      <c r="C416" t="s">
        <v>53</v>
      </c>
      <c r="D416" s="19">
        <v>-702</v>
      </c>
    </row>
    <row r="417" spans="1:4" x14ac:dyDescent="0.45">
      <c r="A417" s="25">
        <v>43374</v>
      </c>
      <c r="B417">
        <v>4003</v>
      </c>
      <c r="C417" t="s">
        <v>54</v>
      </c>
      <c r="D417" s="19">
        <v>-931</v>
      </c>
    </row>
    <row r="418" spans="1:4" x14ac:dyDescent="0.45">
      <c r="A418" s="25">
        <v>43374</v>
      </c>
      <c r="B418">
        <v>5001</v>
      </c>
      <c r="C418" t="s">
        <v>57</v>
      </c>
      <c r="D418" s="19">
        <v>-7584</v>
      </c>
    </row>
    <row r="419" spans="1:4" x14ac:dyDescent="0.45">
      <c r="A419" s="25">
        <v>43374</v>
      </c>
      <c r="B419">
        <v>5002</v>
      </c>
      <c r="C419" t="s">
        <v>58</v>
      </c>
      <c r="D419" s="19">
        <v>-92138</v>
      </c>
    </row>
    <row r="420" spans="1:4" x14ac:dyDescent="0.45">
      <c r="A420" s="25">
        <v>43374</v>
      </c>
      <c r="B420">
        <v>5003</v>
      </c>
      <c r="C420" t="s">
        <v>59</v>
      </c>
      <c r="D420" s="19">
        <v>-34545</v>
      </c>
    </row>
    <row r="421" spans="1:4" x14ac:dyDescent="0.45">
      <c r="A421" s="25">
        <v>43374</v>
      </c>
      <c r="B421">
        <v>5004</v>
      </c>
      <c r="C421" t="s">
        <v>60</v>
      </c>
      <c r="D421" s="19">
        <v>-28649</v>
      </c>
    </row>
    <row r="422" spans="1:4" x14ac:dyDescent="0.45">
      <c r="A422" s="25">
        <v>43374</v>
      </c>
      <c r="B422">
        <v>5005</v>
      </c>
      <c r="C422" t="s">
        <v>61</v>
      </c>
      <c r="D422" s="19">
        <v>-89289</v>
      </c>
    </row>
    <row r="423" spans="1:4" x14ac:dyDescent="0.45">
      <c r="A423" s="25">
        <v>43374</v>
      </c>
      <c r="B423">
        <v>5006</v>
      </c>
      <c r="C423" t="s">
        <v>62</v>
      </c>
      <c r="D423" s="19">
        <v>-43746</v>
      </c>
    </row>
    <row r="424" spans="1:4" x14ac:dyDescent="0.45">
      <c r="A424" s="25">
        <v>43374</v>
      </c>
      <c r="B424">
        <v>5007</v>
      </c>
      <c r="C424" t="s">
        <v>63</v>
      </c>
      <c r="D424" s="19">
        <v>-79835</v>
      </c>
    </row>
    <row r="425" spans="1:4" x14ac:dyDescent="0.45">
      <c r="A425" s="25">
        <v>43374</v>
      </c>
      <c r="B425">
        <v>5008</v>
      </c>
      <c r="C425" t="s">
        <v>64</v>
      </c>
      <c r="D425" s="19">
        <v>-29612</v>
      </c>
    </row>
    <row r="426" spans="1:4" x14ac:dyDescent="0.45">
      <c r="A426" s="25">
        <v>43374</v>
      </c>
      <c r="B426">
        <v>5009</v>
      </c>
      <c r="C426" t="s">
        <v>65</v>
      </c>
      <c r="D426" s="19">
        <v>-25265</v>
      </c>
    </row>
    <row r="427" spans="1:4" x14ac:dyDescent="0.45">
      <c r="A427" s="25">
        <v>43374</v>
      </c>
      <c r="B427">
        <v>6002</v>
      </c>
      <c r="C427" t="s">
        <v>68</v>
      </c>
      <c r="D427" s="19">
        <v>-332</v>
      </c>
    </row>
    <row r="428" spans="1:4" x14ac:dyDescent="0.45">
      <c r="A428" s="25">
        <v>43374</v>
      </c>
      <c r="B428">
        <v>6003</v>
      </c>
      <c r="C428" t="s">
        <v>69</v>
      </c>
      <c r="D428" s="19">
        <v>-136</v>
      </c>
    </row>
    <row r="429" spans="1:4" x14ac:dyDescent="0.45">
      <c r="A429" s="25">
        <v>43374</v>
      </c>
      <c r="B429">
        <v>6004</v>
      </c>
      <c r="C429" t="s">
        <v>70</v>
      </c>
      <c r="D429" s="19">
        <v>-165</v>
      </c>
    </row>
    <row r="430" spans="1:4" x14ac:dyDescent="0.45">
      <c r="A430" s="25">
        <v>43374</v>
      </c>
      <c r="B430">
        <v>6005</v>
      </c>
      <c r="C430" t="s">
        <v>71</v>
      </c>
      <c r="D430" s="19">
        <v>-248</v>
      </c>
    </row>
    <row r="431" spans="1:4" x14ac:dyDescent="0.45">
      <c r="A431" s="25">
        <v>43374</v>
      </c>
      <c r="B431">
        <v>6006</v>
      </c>
      <c r="C431" t="s">
        <v>72</v>
      </c>
      <c r="D431" s="19">
        <v>-828</v>
      </c>
    </row>
    <row r="432" spans="1:4" x14ac:dyDescent="0.45">
      <c r="A432" s="25">
        <v>43405</v>
      </c>
      <c r="B432">
        <v>2001</v>
      </c>
      <c r="C432" t="s">
        <v>22</v>
      </c>
      <c r="D432" s="19">
        <v>-272</v>
      </c>
    </row>
    <row r="433" spans="1:4" x14ac:dyDescent="0.45">
      <c r="A433" s="25">
        <v>43405</v>
      </c>
      <c r="B433">
        <v>2002</v>
      </c>
      <c r="C433" t="s">
        <v>23</v>
      </c>
      <c r="D433" s="19">
        <v>-957</v>
      </c>
    </row>
    <row r="434" spans="1:4" x14ac:dyDescent="0.45">
      <c r="A434" s="25">
        <v>43405</v>
      </c>
      <c r="B434">
        <v>2003</v>
      </c>
      <c r="C434" t="s">
        <v>24</v>
      </c>
      <c r="D434" s="19">
        <v>-215</v>
      </c>
    </row>
    <row r="435" spans="1:4" x14ac:dyDescent="0.45">
      <c r="A435" s="25">
        <v>43405</v>
      </c>
      <c r="B435">
        <v>2004</v>
      </c>
      <c r="C435" t="s">
        <v>25</v>
      </c>
      <c r="D435" s="19">
        <v>-140</v>
      </c>
    </row>
    <row r="436" spans="1:4" x14ac:dyDescent="0.45">
      <c r="A436" s="25">
        <v>43405</v>
      </c>
      <c r="B436">
        <v>2005</v>
      </c>
      <c r="C436" t="s">
        <v>26</v>
      </c>
      <c r="D436" s="19">
        <v>-887</v>
      </c>
    </row>
    <row r="437" spans="1:4" x14ac:dyDescent="0.45">
      <c r="A437" s="25">
        <v>43405</v>
      </c>
      <c r="B437">
        <v>2006</v>
      </c>
      <c r="C437" t="s">
        <v>27</v>
      </c>
      <c r="D437" s="19">
        <v>-373</v>
      </c>
    </row>
    <row r="438" spans="1:4" x14ac:dyDescent="0.45">
      <c r="A438" s="25">
        <v>43405</v>
      </c>
      <c r="B438">
        <v>2007</v>
      </c>
      <c r="C438" t="s">
        <v>28</v>
      </c>
      <c r="D438" s="19">
        <v>-131</v>
      </c>
    </row>
    <row r="439" spans="1:4" x14ac:dyDescent="0.45">
      <c r="A439" s="25">
        <v>43405</v>
      </c>
      <c r="B439">
        <v>2008</v>
      </c>
      <c r="C439" t="s">
        <v>29</v>
      </c>
      <c r="D439" s="19">
        <v>-589</v>
      </c>
    </row>
    <row r="440" spans="1:4" x14ac:dyDescent="0.45">
      <c r="A440" s="25">
        <v>43405</v>
      </c>
      <c r="B440">
        <v>2009</v>
      </c>
      <c r="C440" t="s">
        <v>30</v>
      </c>
      <c r="D440" s="19">
        <v>-262</v>
      </c>
    </row>
    <row r="441" spans="1:4" x14ac:dyDescent="0.45">
      <c r="A441" s="25">
        <v>43405</v>
      </c>
      <c r="B441">
        <v>2010</v>
      </c>
      <c r="C441" t="s">
        <v>31</v>
      </c>
      <c r="D441" s="19">
        <v>-767</v>
      </c>
    </row>
    <row r="442" spans="1:4" x14ac:dyDescent="0.45">
      <c r="A442" s="25">
        <v>43405</v>
      </c>
      <c r="B442">
        <v>2011</v>
      </c>
      <c r="C442" t="s">
        <v>32</v>
      </c>
      <c r="D442" s="19">
        <v>-411</v>
      </c>
    </row>
    <row r="443" spans="1:4" x14ac:dyDescent="0.45">
      <c r="A443" s="25">
        <v>43405</v>
      </c>
      <c r="B443">
        <v>2012</v>
      </c>
      <c r="C443" t="s">
        <v>33</v>
      </c>
      <c r="D443" s="19">
        <v>-899</v>
      </c>
    </row>
    <row r="444" spans="1:4" x14ac:dyDescent="0.45">
      <c r="A444" s="25">
        <v>43405</v>
      </c>
      <c r="B444">
        <v>2013</v>
      </c>
      <c r="C444" t="s">
        <v>34</v>
      </c>
      <c r="D444" s="19">
        <v>-527</v>
      </c>
    </row>
    <row r="445" spans="1:4" x14ac:dyDescent="0.45">
      <c r="A445" s="25">
        <v>43405</v>
      </c>
      <c r="B445">
        <v>2014</v>
      </c>
      <c r="C445" t="s">
        <v>35</v>
      </c>
      <c r="D445" s="19">
        <v>-632</v>
      </c>
    </row>
    <row r="446" spans="1:4" x14ac:dyDescent="0.45">
      <c r="A446" s="25">
        <v>43405</v>
      </c>
      <c r="B446">
        <v>2015</v>
      </c>
      <c r="C446" t="s">
        <v>36</v>
      </c>
      <c r="D446" s="19">
        <v>-834</v>
      </c>
    </row>
    <row r="447" spans="1:4" x14ac:dyDescent="0.45">
      <c r="A447" s="25">
        <v>43405</v>
      </c>
      <c r="B447">
        <v>2016</v>
      </c>
      <c r="C447" t="s">
        <v>37</v>
      </c>
      <c r="D447" s="19">
        <v>-766</v>
      </c>
    </row>
    <row r="448" spans="1:4" x14ac:dyDescent="0.45">
      <c r="A448" s="25">
        <v>43405</v>
      </c>
      <c r="B448">
        <v>2017</v>
      </c>
      <c r="C448" t="s">
        <v>38</v>
      </c>
      <c r="D448" s="19">
        <v>-415</v>
      </c>
    </row>
    <row r="449" spans="1:4" x14ac:dyDescent="0.45">
      <c r="A449" s="25">
        <v>43405</v>
      </c>
      <c r="B449">
        <v>3001</v>
      </c>
      <c r="C449" t="s">
        <v>41</v>
      </c>
      <c r="D449" s="19">
        <v>-356</v>
      </c>
    </row>
    <row r="450" spans="1:4" x14ac:dyDescent="0.45">
      <c r="A450" s="25">
        <v>43405</v>
      </c>
      <c r="B450">
        <v>3002</v>
      </c>
      <c r="C450" t="s">
        <v>42</v>
      </c>
      <c r="D450" s="19">
        <v>-808</v>
      </c>
    </row>
    <row r="451" spans="1:4" x14ac:dyDescent="0.45">
      <c r="A451" s="25">
        <v>43405</v>
      </c>
      <c r="B451">
        <v>3003</v>
      </c>
      <c r="C451" t="s">
        <v>43</v>
      </c>
      <c r="D451" s="19">
        <v>-583</v>
      </c>
    </row>
    <row r="452" spans="1:4" x14ac:dyDescent="0.45">
      <c r="A452" s="25">
        <v>43405</v>
      </c>
      <c r="B452">
        <v>3004</v>
      </c>
      <c r="C452" t="s">
        <v>44</v>
      </c>
      <c r="D452" s="19">
        <v>-430</v>
      </c>
    </row>
    <row r="453" spans="1:4" x14ac:dyDescent="0.45">
      <c r="A453" s="25">
        <v>43405</v>
      </c>
      <c r="B453">
        <v>3005</v>
      </c>
      <c r="C453" t="s">
        <v>45</v>
      </c>
      <c r="D453" s="19">
        <v>-563</v>
      </c>
    </row>
    <row r="454" spans="1:4" x14ac:dyDescent="0.45">
      <c r="A454" s="25">
        <v>43405</v>
      </c>
      <c r="B454">
        <v>3006</v>
      </c>
      <c r="C454" t="s">
        <v>46</v>
      </c>
      <c r="D454" s="19">
        <v>-770</v>
      </c>
    </row>
    <row r="455" spans="1:4" x14ac:dyDescent="0.45">
      <c r="A455" s="25">
        <v>43405</v>
      </c>
      <c r="B455">
        <v>3007</v>
      </c>
      <c r="C455" t="s">
        <v>47</v>
      </c>
      <c r="D455" s="19">
        <v>-319</v>
      </c>
    </row>
    <row r="456" spans="1:4" x14ac:dyDescent="0.45">
      <c r="A456" s="25">
        <v>43405</v>
      </c>
      <c r="B456">
        <v>3008</v>
      </c>
      <c r="C456" t="s">
        <v>48</v>
      </c>
      <c r="D456" s="19">
        <v>-515</v>
      </c>
    </row>
    <row r="457" spans="1:4" x14ac:dyDescent="0.45">
      <c r="A457" s="25">
        <v>43405</v>
      </c>
      <c r="B457">
        <v>3009</v>
      </c>
      <c r="C457" t="s">
        <v>49</v>
      </c>
      <c r="D457" s="19">
        <v>-686</v>
      </c>
    </row>
    <row r="458" spans="1:4" x14ac:dyDescent="0.45">
      <c r="A458" s="25">
        <v>43405</v>
      </c>
      <c r="B458">
        <v>4001</v>
      </c>
      <c r="C458" t="s">
        <v>52</v>
      </c>
      <c r="D458" s="19">
        <v>-863</v>
      </c>
    </row>
    <row r="459" spans="1:4" x14ac:dyDescent="0.45">
      <c r="A459" s="25">
        <v>43405</v>
      </c>
      <c r="B459">
        <v>4002</v>
      </c>
      <c r="C459" t="s">
        <v>53</v>
      </c>
      <c r="D459" s="19">
        <v>-104</v>
      </c>
    </row>
    <row r="460" spans="1:4" x14ac:dyDescent="0.45">
      <c r="A460" s="25">
        <v>43405</v>
      </c>
      <c r="B460">
        <v>4003</v>
      </c>
      <c r="C460" t="s">
        <v>54</v>
      </c>
      <c r="D460" s="19">
        <v>-327</v>
      </c>
    </row>
    <row r="461" spans="1:4" x14ac:dyDescent="0.45">
      <c r="A461" s="25">
        <v>43405</v>
      </c>
      <c r="B461">
        <v>5001</v>
      </c>
      <c r="C461" t="s">
        <v>57</v>
      </c>
      <c r="D461" s="19">
        <v>-96825</v>
      </c>
    </row>
    <row r="462" spans="1:4" x14ac:dyDescent="0.45">
      <c r="A462" s="25">
        <v>43405</v>
      </c>
      <c r="B462">
        <v>5002</v>
      </c>
      <c r="C462" t="s">
        <v>58</v>
      </c>
      <c r="D462" s="19">
        <v>-21972</v>
      </c>
    </row>
    <row r="463" spans="1:4" x14ac:dyDescent="0.45">
      <c r="A463" s="25">
        <v>43405</v>
      </c>
      <c r="B463">
        <v>5003</v>
      </c>
      <c r="C463" t="s">
        <v>59</v>
      </c>
      <c r="D463" s="19">
        <v>-25882</v>
      </c>
    </row>
    <row r="464" spans="1:4" x14ac:dyDescent="0.45">
      <c r="A464" s="25">
        <v>43405</v>
      </c>
      <c r="B464">
        <v>5004</v>
      </c>
      <c r="C464" t="s">
        <v>60</v>
      </c>
      <c r="D464" s="19">
        <v>-12458</v>
      </c>
    </row>
    <row r="465" spans="1:4" x14ac:dyDescent="0.45">
      <c r="A465" s="25">
        <v>43405</v>
      </c>
      <c r="B465">
        <v>5005</v>
      </c>
      <c r="C465" t="s">
        <v>61</v>
      </c>
      <c r="D465" s="19">
        <v>-7644</v>
      </c>
    </row>
    <row r="466" spans="1:4" x14ac:dyDescent="0.45">
      <c r="A466" s="25">
        <v>43405</v>
      </c>
      <c r="B466">
        <v>5006</v>
      </c>
      <c r="C466" t="s">
        <v>62</v>
      </c>
      <c r="D466" s="19">
        <v>-63606</v>
      </c>
    </row>
    <row r="467" spans="1:4" x14ac:dyDescent="0.45">
      <c r="A467" s="25">
        <v>43405</v>
      </c>
      <c r="B467">
        <v>5007</v>
      </c>
      <c r="C467" t="s">
        <v>63</v>
      </c>
      <c r="D467" s="19">
        <v>-61783</v>
      </c>
    </row>
    <row r="468" spans="1:4" x14ac:dyDescent="0.45">
      <c r="A468" s="25">
        <v>43405</v>
      </c>
      <c r="B468">
        <v>5008</v>
      </c>
      <c r="C468" t="s">
        <v>64</v>
      </c>
      <c r="D468" s="19">
        <v>-36309</v>
      </c>
    </row>
    <row r="469" spans="1:4" x14ac:dyDescent="0.45">
      <c r="A469" s="25">
        <v>43405</v>
      </c>
      <c r="B469">
        <v>5009</v>
      </c>
      <c r="C469" t="s">
        <v>65</v>
      </c>
      <c r="D469" s="19">
        <v>-44480</v>
      </c>
    </row>
    <row r="470" spans="1:4" x14ac:dyDescent="0.45">
      <c r="A470" s="25">
        <v>43405</v>
      </c>
      <c r="B470">
        <v>6002</v>
      </c>
      <c r="C470" t="s">
        <v>68</v>
      </c>
      <c r="D470" s="19">
        <v>-313</v>
      </c>
    </row>
    <row r="471" spans="1:4" x14ac:dyDescent="0.45">
      <c r="A471" s="25">
        <v>43405</v>
      </c>
      <c r="B471">
        <v>6003</v>
      </c>
      <c r="C471" t="s">
        <v>69</v>
      </c>
      <c r="D471" s="19">
        <v>-704</v>
      </c>
    </row>
    <row r="472" spans="1:4" x14ac:dyDescent="0.45">
      <c r="A472" s="25">
        <v>43405</v>
      </c>
      <c r="B472">
        <v>6004</v>
      </c>
      <c r="C472" t="s">
        <v>70</v>
      </c>
      <c r="D472" s="19">
        <v>-465</v>
      </c>
    </row>
    <row r="473" spans="1:4" x14ac:dyDescent="0.45">
      <c r="A473" s="25">
        <v>43405</v>
      </c>
      <c r="B473">
        <v>6005</v>
      </c>
      <c r="C473" t="s">
        <v>71</v>
      </c>
      <c r="D473" s="19">
        <v>-963</v>
      </c>
    </row>
    <row r="474" spans="1:4" x14ac:dyDescent="0.45">
      <c r="A474" s="25">
        <v>43405</v>
      </c>
      <c r="B474">
        <v>6006</v>
      </c>
      <c r="C474" t="s">
        <v>72</v>
      </c>
      <c r="D474" s="19">
        <v>-565</v>
      </c>
    </row>
    <row r="475" spans="1:4" x14ac:dyDescent="0.45">
      <c r="A475" s="25">
        <v>43435</v>
      </c>
      <c r="B475">
        <v>2001</v>
      </c>
      <c r="C475" t="s">
        <v>22</v>
      </c>
      <c r="D475" s="19">
        <v>-352</v>
      </c>
    </row>
    <row r="476" spans="1:4" x14ac:dyDescent="0.45">
      <c r="A476" s="25">
        <v>43435</v>
      </c>
      <c r="B476">
        <v>2002</v>
      </c>
      <c r="C476" t="s">
        <v>23</v>
      </c>
      <c r="D476" s="19">
        <v>-454</v>
      </c>
    </row>
    <row r="477" spans="1:4" x14ac:dyDescent="0.45">
      <c r="A477" s="25">
        <v>43435</v>
      </c>
      <c r="B477">
        <v>2003</v>
      </c>
      <c r="C477" t="s">
        <v>24</v>
      </c>
      <c r="D477" s="19">
        <v>-263</v>
      </c>
    </row>
    <row r="478" spans="1:4" x14ac:dyDescent="0.45">
      <c r="A478" s="25">
        <v>43435</v>
      </c>
      <c r="B478">
        <v>2004</v>
      </c>
      <c r="C478" t="s">
        <v>25</v>
      </c>
      <c r="D478" s="19">
        <v>-190</v>
      </c>
    </row>
    <row r="479" spans="1:4" x14ac:dyDescent="0.45">
      <c r="A479" s="25">
        <v>43435</v>
      </c>
      <c r="B479">
        <v>2005</v>
      </c>
      <c r="C479" t="s">
        <v>26</v>
      </c>
      <c r="D479" s="19">
        <v>-274</v>
      </c>
    </row>
    <row r="480" spans="1:4" x14ac:dyDescent="0.45">
      <c r="A480" s="25">
        <v>43435</v>
      </c>
      <c r="B480">
        <v>2006</v>
      </c>
      <c r="C480" t="s">
        <v>27</v>
      </c>
      <c r="D480" s="19">
        <v>-444</v>
      </c>
    </row>
    <row r="481" spans="1:4" x14ac:dyDescent="0.45">
      <c r="A481" s="25">
        <v>43435</v>
      </c>
      <c r="B481">
        <v>2007</v>
      </c>
      <c r="C481" t="s">
        <v>28</v>
      </c>
      <c r="D481" s="19">
        <v>-268</v>
      </c>
    </row>
    <row r="482" spans="1:4" x14ac:dyDescent="0.45">
      <c r="A482" s="25">
        <v>43435</v>
      </c>
      <c r="B482">
        <v>2008</v>
      </c>
      <c r="C482" t="s">
        <v>29</v>
      </c>
      <c r="D482" s="19">
        <v>-407</v>
      </c>
    </row>
    <row r="483" spans="1:4" x14ac:dyDescent="0.45">
      <c r="A483" s="25">
        <v>43435</v>
      </c>
      <c r="B483">
        <v>2009</v>
      </c>
      <c r="C483" t="s">
        <v>30</v>
      </c>
      <c r="D483" s="19">
        <v>-732</v>
      </c>
    </row>
    <row r="484" spans="1:4" x14ac:dyDescent="0.45">
      <c r="A484" s="25">
        <v>43435</v>
      </c>
      <c r="B484">
        <v>2010</v>
      </c>
      <c r="C484" t="s">
        <v>31</v>
      </c>
      <c r="D484" s="19">
        <v>-429</v>
      </c>
    </row>
    <row r="485" spans="1:4" x14ac:dyDescent="0.45">
      <c r="A485" s="25">
        <v>43435</v>
      </c>
      <c r="B485">
        <v>2011</v>
      </c>
      <c r="C485" t="s">
        <v>32</v>
      </c>
      <c r="D485" s="19">
        <v>-867</v>
      </c>
    </row>
    <row r="486" spans="1:4" x14ac:dyDescent="0.45">
      <c r="A486" s="25">
        <v>43435</v>
      </c>
      <c r="B486">
        <v>2012</v>
      </c>
      <c r="C486" t="s">
        <v>33</v>
      </c>
      <c r="D486" s="19">
        <v>-217</v>
      </c>
    </row>
    <row r="487" spans="1:4" x14ac:dyDescent="0.45">
      <c r="A487" s="25">
        <v>43435</v>
      </c>
      <c r="B487">
        <v>2013</v>
      </c>
      <c r="C487" t="s">
        <v>34</v>
      </c>
      <c r="D487" s="19">
        <v>-601</v>
      </c>
    </row>
    <row r="488" spans="1:4" x14ac:dyDescent="0.45">
      <c r="A488" s="25">
        <v>43435</v>
      </c>
      <c r="B488">
        <v>2014</v>
      </c>
      <c r="C488" t="s">
        <v>35</v>
      </c>
      <c r="D488" s="19">
        <v>-848</v>
      </c>
    </row>
    <row r="489" spans="1:4" x14ac:dyDescent="0.45">
      <c r="A489" s="25">
        <v>43435</v>
      </c>
      <c r="B489">
        <v>2015</v>
      </c>
      <c r="C489" t="s">
        <v>36</v>
      </c>
      <c r="D489" s="19">
        <v>-31</v>
      </c>
    </row>
    <row r="490" spans="1:4" x14ac:dyDescent="0.45">
      <c r="A490" s="25">
        <v>43435</v>
      </c>
      <c r="B490">
        <v>2016</v>
      </c>
      <c r="C490" t="s">
        <v>37</v>
      </c>
      <c r="D490" s="19">
        <v>-464</v>
      </c>
    </row>
    <row r="491" spans="1:4" x14ac:dyDescent="0.45">
      <c r="A491" s="25">
        <v>43435</v>
      </c>
      <c r="B491">
        <v>2017</v>
      </c>
      <c r="C491" t="s">
        <v>38</v>
      </c>
      <c r="D491" s="19">
        <v>-789</v>
      </c>
    </row>
    <row r="492" spans="1:4" x14ac:dyDescent="0.45">
      <c r="A492" s="25">
        <v>43435</v>
      </c>
      <c r="B492">
        <v>3001</v>
      </c>
      <c r="C492" t="s">
        <v>41</v>
      </c>
      <c r="D492" s="19">
        <v>-631</v>
      </c>
    </row>
    <row r="493" spans="1:4" x14ac:dyDescent="0.45">
      <c r="A493" s="25">
        <v>43435</v>
      </c>
      <c r="B493">
        <v>3002</v>
      </c>
      <c r="C493" t="s">
        <v>42</v>
      </c>
      <c r="D493" s="19">
        <v>-22</v>
      </c>
    </row>
    <row r="494" spans="1:4" x14ac:dyDescent="0.45">
      <c r="A494" s="25">
        <v>43435</v>
      </c>
      <c r="B494">
        <v>3003</v>
      </c>
      <c r="C494" t="s">
        <v>43</v>
      </c>
      <c r="D494" s="19">
        <v>-618</v>
      </c>
    </row>
    <row r="495" spans="1:4" x14ac:dyDescent="0.45">
      <c r="A495" s="25">
        <v>43435</v>
      </c>
      <c r="B495">
        <v>3004</v>
      </c>
      <c r="C495" t="s">
        <v>44</v>
      </c>
      <c r="D495" s="19">
        <v>-508</v>
      </c>
    </row>
    <row r="496" spans="1:4" x14ac:dyDescent="0.45">
      <c r="A496" s="25">
        <v>43435</v>
      </c>
      <c r="B496">
        <v>3005</v>
      </c>
      <c r="C496" t="s">
        <v>45</v>
      </c>
      <c r="D496" s="19">
        <v>-330</v>
      </c>
    </row>
    <row r="497" spans="1:4" x14ac:dyDescent="0.45">
      <c r="A497" s="25">
        <v>43435</v>
      </c>
      <c r="B497">
        <v>3006</v>
      </c>
      <c r="C497" t="s">
        <v>46</v>
      </c>
      <c r="D497" s="19">
        <v>-543</v>
      </c>
    </row>
    <row r="498" spans="1:4" x14ac:dyDescent="0.45">
      <c r="A498" s="25">
        <v>43435</v>
      </c>
      <c r="B498">
        <v>3007</v>
      </c>
      <c r="C498" t="s">
        <v>47</v>
      </c>
      <c r="D498" s="19">
        <v>-22</v>
      </c>
    </row>
    <row r="499" spans="1:4" x14ac:dyDescent="0.45">
      <c r="A499" s="25">
        <v>43435</v>
      </c>
      <c r="B499">
        <v>3008</v>
      </c>
      <c r="C499" t="s">
        <v>48</v>
      </c>
      <c r="D499" s="19">
        <v>-434</v>
      </c>
    </row>
    <row r="500" spans="1:4" x14ac:dyDescent="0.45">
      <c r="A500" s="25">
        <v>43435</v>
      </c>
      <c r="B500">
        <v>3009</v>
      </c>
      <c r="C500" t="s">
        <v>49</v>
      </c>
      <c r="D500" s="19">
        <v>-959</v>
      </c>
    </row>
    <row r="501" spans="1:4" x14ac:dyDescent="0.45">
      <c r="A501" s="25">
        <v>43435</v>
      </c>
      <c r="B501">
        <v>4001</v>
      </c>
      <c r="C501" t="s">
        <v>52</v>
      </c>
      <c r="D501" s="19">
        <v>-553</v>
      </c>
    </row>
    <row r="502" spans="1:4" x14ac:dyDescent="0.45">
      <c r="A502" s="25">
        <v>43435</v>
      </c>
      <c r="B502">
        <v>4002</v>
      </c>
      <c r="C502" t="s">
        <v>53</v>
      </c>
      <c r="D502" s="19">
        <v>-21</v>
      </c>
    </row>
    <row r="503" spans="1:4" x14ac:dyDescent="0.45">
      <c r="A503" s="25">
        <v>43435</v>
      </c>
      <c r="B503">
        <v>4003</v>
      </c>
      <c r="C503" t="s">
        <v>54</v>
      </c>
      <c r="D503" s="19">
        <v>-356</v>
      </c>
    </row>
    <row r="504" spans="1:4" x14ac:dyDescent="0.45">
      <c r="A504" s="25">
        <v>43435</v>
      </c>
      <c r="B504">
        <v>5001</v>
      </c>
      <c r="C504" t="s">
        <v>57</v>
      </c>
      <c r="D504" s="19">
        <v>-85994</v>
      </c>
    </row>
    <row r="505" spans="1:4" x14ac:dyDescent="0.45">
      <c r="A505" s="25">
        <v>43435</v>
      </c>
      <c r="B505">
        <v>5002</v>
      </c>
      <c r="C505" t="s">
        <v>58</v>
      </c>
      <c r="D505" s="19">
        <v>-99375</v>
      </c>
    </row>
    <row r="506" spans="1:4" x14ac:dyDescent="0.45">
      <c r="A506" s="25">
        <v>43435</v>
      </c>
      <c r="B506">
        <v>5003</v>
      </c>
      <c r="C506" t="s">
        <v>59</v>
      </c>
      <c r="D506" s="19">
        <v>-21123</v>
      </c>
    </row>
    <row r="507" spans="1:4" x14ac:dyDescent="0.45">
      <c r="A507" s="25">
        <v>43435</v>
      </c>
      <c r="B507">
        <v>5004</v>
      </c>
      <c r="C507" t="s">
        <v>60</v>
      </c>
      <c r="D507" s="19">
        <v>-7726</v>
      </c>
    </row>
    <row r="508" spans="1:4" x14ac:dyDescent="0.45">
      <c r="A508" s="25">
        <v>43435</v>
      </c>
      <c r="B508">
        <v>5005</v>
      </c>
      <c r="C508" t="s">
        <v>61</v>
      </c>
      <c r="D508" s="19">
        <v>-5664</v>
      </c>
    </row>
    <row r="509" spans="1:4" x14ac:dyDescent="0.45">
      <c r="A509" s="25">
        <v>43435</v>
      </c>
      <c r="B509">
        <v>5006</v>
      </c>
      <c r="C509" t="s">
        <v>62</v>
      </c>
      <c r="D509" s="19">
        <v>-23603</v>
      </c>
    </row>
    <row r="510" spans="1:4" x14ac:dyDescent="0.45">
      <c r="A510" s="25">
        <v>43435</v>
      </c>
      <c r="B510">
        <v>5007</v>
      </c>
      <c r="C510" t="s">
        <v>63</v>
      </c>
      <c r="D510" s="19">
        <v>-86621</v>
      </c>
    </row>
    <row r="511" spans="1:4" x14ac:dyDescent="0.45">
      <c r="A511" s="25">
        <v>43435</v>
      </c>
      <c r="B511">
        <v>5008</v>
      </c>
      <c r="C511" t="s">
        <v>64</v>
      </c>
      <c r="D511" s="19">
        <v>-78350</v>
      </c>
    </row>
    <row r="512" spans="1:4" x14ac:dyDescent="0.45">
      <c r="A512" s="25">
        <v>43435</v>
      </c>
      <c r="B512">
        <v>5009</v>
      </c>
      <c r="C512" t="s">
        <v>65</v>
      </c>
      <c r="D512" s="19">
        <v>-72023</v>
      </c>
    </row>
    <row r="513" spans="1:4" x14ac:dyDescent="0.45">
      <c r="A513" s="25">
        <v>43435</v>
      </c>
      <c r="B513">
        <v>6002</v>
      </c>
      <c r="C513" t="s">
        <v>68</v>
      </c>
      <c r="D513" s="19">
        <v>-677</v>
      </c>
    </row>
    <row r="514" spans="1:4" x14ac:dyDescent="0.45">
      <c r="A514" s="25">
        <v>43435</v>
      </c>
      <c r="B514">
        <v>6003</v>
      </c>
      <c r="C514" t="s">
        <v>69</v>
      </c>
      <c r="D514" s="19">
        <v>-565</v>
      </c>
    </row>
    <row r="515" spans="1:4" x14ac:dyDescent="0.45">
      <c r="A515" s="25">
        <v>43435</v>
      </c>
      <c r="B515">
        <v>6004</v>
      </c>
      <c r="C515" t="s">
        <v>70</v>
      </c>
      <c r="D515" s="19">
        <v>-439</v>
      </c>
    </row>
    <row r="516" spans="1:4" x14ac:dyDescent="0.45">
      <c r="A516" s="25">
        <v>43435</v>
      </c>
      <c r="B516">
        <v>6005</v>
      </c>
      <c r="C516" t="s">
        <v>71</v>
      </c>
      <c r="D516" s="19">
        <v>-878</v>
      </c>
    </row>
    <row r="517" spans="1:4" x14ac:dyDescent="0.45">
      <c r="A517" s="25">
        <v>43435</v>
      </c>
      <c r="B517">
        <v>6006</v>
      </c>
      <c r="C517" t="s">
        <v>72</v>
      </c>
      <c r="D517" s="19">
        <v>-752</v>
      </c>
    </row>
    <row r="518" spans="1:4" x14ac:dyDescent="0.45">
      <c r="A518" s="22"/>
    </row>
    <row r="519" spans="1:4" x14ac:dyDescent="0.45">
      <c r="A519" s="22"/>
    </row>
    <row r="520" spans="1:4" x14ac:dyDescent="0.45">
      <c r="A520" s="22"/>
    </row>
    <row r="521" spans="1:4" x14ac:dyDescent="0.45">
      <c r="A521" s="22"/>
    </row>
    <row r="522" spans="1:4" x14ac:dyDescent="0.45">
      <c r="A522" s="22"/>
    </row>
    <row r="523" spans="1:4" x14ac:dyDescent="0.45">
      <c r="A523" s="22"/>
    </row>
    <row r="524" spans="1:4" x14ac:dyDescent="0.45">
      <c r="A524" s="22"/>
    </row>
    <row r="525" spans="1:4" x14ac:dyDescent="0.45">
      <c r="A525" s="22"/>
    </row>
    <row r="526" spans="1:4" x14ac:dyDescent="0.45">
      <c r="A526" s="22"/>
    </row>
    <row r="527" spans="1:4" x14ac:dyDescent="0.45">
      <c r="A527" s="22"/>
    </row>
    <row r="528" spans="1:4" x14ac:dyDescent="0.45">
      <c r="A528" s="22"/>
    </row>
    <row r="529" spans="1:1" x14ac:dyDescent="0.45">
      <c r="A529" s="22"/>
    </row>
    <row r="530" spans="1:1" x14ac:dyDescent="0.45">
      <c r="A530" s="22"/>
    </row>
    <row r="531" spans="1:1" x14ac:dyDescent="0.45">
      <c r="A531" s="22"/>
    </row>
    <row r="532" spans="1:1" x14ac:dyDescent="0.45">
      <c r="A532" s="22"/>
    </row>
    <row r="533" spans="1:1" x14ac:dyDescent="0.45">
      <c r="A533" s="22"/>
    </row>
    <row r="534" spans="1:1" x14ac:dyDescent="0.45">
      <c r="A534" s="22"/>
    </row>
    <row r="535" spans="1:1" x14ac:dyDescent="0.45">
      <c r="A535" s="22"/>
    </row>
    <row r="536" spans="1:1" x14ac:dyDescent="0.45">
      <c r="A536" s="22"/>
    </row>
    <row r="537" spans="1:1" x14ac:dyDescent="0.45">
      <c r="A537" s="22"/>
    </row>
    <row r="538" spans="1:1" x14ac:dyDescent="0.45">
      <c r="A538" s="22"/>
    </row>
    <row r="539" spans="1:1" x14ac:dyDescent="0.45">
      <c r="A539" s="22"/>
    </row>
    <row r="540" spans="1:1" x14ac:dyDescent="0.45">
      <c r="A540" s="22"/>
    </row>
    <row r="541" spans="1:1" x14ac:dyDescent="0.45">
      <c r="A541" s="22"/>
    </row>
    <row r="542" spans="1:1" x14ac:dyDescent="0.45">
      <c r="A542" s="22"/>
    </row>
    <row r="543" spans="1:1" x14ac:dyDescent="0.45">
      <c r="A543" s="22"/>
    </row>
    <row r="544" spans="1:1" x14ac:dyDescent="0.45">
      <c r="A544" s="22"/>
    </row>
    <row r="545" spans="1:1" x14ac:dyDescent="0.45">
      <c r="A545" s="22"/>
    </row>
    <row r="546" spans="1:1" x14ac:dyDescent="0.45">
      <c r="A546" s="22"/>
    </row>
    <row r="547" spans="1:1" x14ac:dyDescent="0.45">
      <c r="A547" s="22"/>
    </row>
    <row r="548" spans="1:1" x14ac:dyDescent="0.45">
      <c r="A548" s="22"/>
    </row>
    <row r="549" spans="1:1" x14ac:dyDescent="0.45">
      <c r="A549" s="22"/>
    </row>
    <row r="550" spans="1:1" x14ac:dyDescent="0.45">
      <c r="A550" s="22"/>
    </row>
    <row r="551" spans="1:1" x14ac:dyDescent="0.45">
      <c r="A551" s="22"/>
    </row>
    <row r="552" spans="1:1" x14ac:dyDescent="0.45">
      <c r="A552" s="22"/>
    </row>
    <row r="553" spans="1:1" x14ac:dyDescent="0.45">
      <c r="A553" s="22"/>
    </row>
    <row r="554" spans="1:1" x14ac:dyDescent="0.45">
      <c r="A554" s="22"/>
    </row>
    <row r="555" spans="1:1" x14ac:dyDescent="0.45">
      <c r="A555" s="22"/>
    </row>
    <row r="556" spans="1:1" x14ac:dyDescent="0.45">
      <c r="A556" s="22"/>
    </row>
    <row r="557" spans="1:1" x14ac:dyDescent="0.45">
      <c r="A557" s="22"/>
    </row>
    <row r="558" spans="1:1" x14ac:dyDescent="0.45">
      <c r="A558" s="22"/>
    </row>
    <row r="559" spans="1:1" x14ac:dyDescent="0.45">
      <c r="A559" s="22"/>
    </row>
    <row r="560" spans="1:1" x14ac:dyDescent="0.45">
      <c r="A560" s="22"/>
    </row>
    <row r="561" spans="1:1" x14ac:dyDescent="0.45">
      <c r="A561" s="22"/>
    </row>
    <row r="562" spans="1:1" x14ac:dyDescent="0.45">
      <c r="A562" s="22"/>
    </row>
    <row r="563" spans="1:1" x14ac:dyDescent="0.45">
      <c r="A563" s="22"/>
    </row>
    <row r="564" spans="1:1" x14ac:dyDescent="0.45">
      <c r="A564" s="22"/>
    </row>
    <row r="565" spans="1:1" x14ac:dyDescent="0.45">
      <c r="A565" s="22"/>
    </row>
    <row r="566" spans="1:1" x14ac:dyDescent="0.45">
      <c r="A566" s="22"/>
    </row>
    <row r="567" spans="1:1" x14ac:dyDescent="0.45">
      <c r="A567" s="22"/>
    </row>
    <row r="568" spans="1:1" x14ac:dyDescent="0.45">
      <c r="A568" s="22"/>
    </row>
    <row r="569" spans="1:1" x14ac:dyDescent="0.45">
      <c r="A569" s="22"/>
    </row>
    <row r="570" spans="1:1" x14ac:dyDescent="0.45">
      <c r="A570" s="22"/>
    </row>
    <row r="571" spans="1:1" x14ac:dyDescent="0.45">
      <c r="A571" s="22"/>
    </row>
    <row r="572" spans="1:1" x14ac:dyDescent="0.45">
      <c r="A572" s="22"/>
    </row>
    <row r="573" spans="1:1" x14ac:dyDescent="0.45">
      <c r="A573" s="22"/>
    </row>
    <row r="574" spans="1:1" x14ac:dyDescent="0.45">
      <c r="A574" s="22"/>
    </row>
    <row r="575" spans="1:1" x14ac:dyDescent="0.45">
      <c r="A575" s="22"/>
    </row>
    <row r="576" spans="1:1" x14ac:dyDescent="0.45">
      <c r="A576" s="22"/>
    </row>
    <row r="577" spans="1:1" x14ac:dyDescent="0.45">
      <c r="A577" s="22"/>
    </row>
    <row r="578" spans="1:1" x14ac:dyDescent="0.45">
      <c r="A578" s="22"/>
    </row>
    <row r="579" spans="1:1" x14ac:dyDescent="0.45">
      <c r="A579" s="22"/>
    </row>
    <row r="580" spans="1:1" x14ac:dyDescent="0.45">
      <c r="A580" s="22"/>
    </row>
    <row r="581" spans="1:1" x14ac:dyDescent="0.45">
      <c r="A581" s="22"/>
    </row>
    <row r="582" spans="1:1" x14ac:dyDescent="0.45">
      <c r="A582" s="22"/>
    </row>
    <row r="583" spans="1:1" x14ac:dyDescent="0.45">
      <c r="A583" s="22"/>
    </row>
    <row r="584" spans="1:1" x14ac:dyDescent="0.45">
      <c r="A584" s="22"/>
    </row>
    <row r="585" spans="1:1" x14ac:dyDescent="0.45">
      <c r="A585" s="22"/>
    </row>
    <row r="586" spans="1:1" x14ac:dyDescent="0.45">
      <c r="A586" s="22"/>
    </row>
    <row r="587" spans="1:1" x14ac:dyDescent="0.45">
      <c r="A587" s="22"/>
    </row>
    <row r="588" spans="1:1" x14ac:dyDescent="0.45">
      <c r="A588" s="22"/>
    </row>
    <row r="589" spans="1:1" x14ac:dyDescent="0.45">
      <c r="A589" s="22"/>
    </row>
    <row r="590" spans="1:1" x14ac:dyDescent="0.45">
      <c r="A590" s="22"/>
    </row>
    <row r="591" spans="1:1" x14ac:dyDescent="0.45">
      <c r="A591" s="22"/>
    </row>
    <row r="592" spans="1:1" x14ac:dyDescent="0.45">
      <c r="A592" s="22"/>
    </row>
    <row r="593" spans="1:1" x14ac:dyDescent="0.45">
      <c r="A593" s="22"/>
    </row>
    <row r="594" spans="1:1" x14ac:dyDescent="0.45">
      <c r="A594" s="22"/>
    </row>
    <row r="595" spans="1:1" x14ac:dyDescent="0.45">
      <c r="A595" s="22"/>
    </row>
    <row r="596" spans="1:1" x14ac:dyDescent="0.45">
      <c r="A596" s="22"/>
    </row>
    <row r="597" spans="1:1" x14ac:dyDescent="0.45">
      <c r="A597" s="22"/>
    </row>
    <row r="598" spans="1:1" x14ac:dyDescent="0.45">
      <c r="A598" s="22"/>
    </row>
    <row r="599" spans="1:1" x14ac:dyDescent="0.45">
      <c r="A599" s="22"/>
    </row>
    <row r="600" spans="1:1" x14ac:dyDescent="0.45">
      <c r="A600" s="22"/>
    </row>
    <row r="601" spans="1:1" x14ac:dyDescent="0.45">
      <c r="A601" s="22"/>
    </row>
    <row r="602" spans="1:1" x14ac:dyDescent="0.45">
      <c r="A602" s="22"/>
    </row>
    <row r="603" spans="1:1" x14ac:dyDescent="0.45">
      <c r="A603" s="22"/>
    </row>
    <row r="604" spans="1:1" x14ac:dyDescent="0.45">
      <c r="A604" s="22"/>
    </row>
    <row r="605" spans="1:1" x14ac:dyDescent="0.45">
      <c r="A605" s="22"/>
    </row>
    <row r="606" spans="1:1" x14ac:dyDescent="0.45">
      <c r="A606" s="22"/>
    </row>
    <row r="607" spans="1:1" x14ac:dyDescent="0.45">
      <c r="A607" s="22"/>
    </row>
    <row r="608" spans="1:1" x14ac:dyDescent="0.45">
      <c r="A608" s="22"/>
    </row>
    <row r="609" spans="1:1" x14ac:dyDescent="0.45">
      <c r="A609" s="22"/>
    </row>
    <row r="610" spans="1:1" x14ac:dyDescent="0.45">
      <c r="A610" s="22"/>
    </row>
    <row r="611" spans="1:1" x14ac:dyDescent="0.45">
      <c r="A611" s="22"/>
    </row>
    <row r="612" spans="1:1" x14ac:dyDescent="0.45">
      <c r="A612" s="22"/>
    </row>
    <row r="613" spans="1:1" x14ac:dyDescent="0.45">
      <c r="A613" s="22"/>
    </row>
    <row r="614" spans="1:1" x14ac:dyDescent="0.45">
      <c r="A614" s="22"/>
    </row>
    <row r="615" spans="1:1" x14ac:dyDescent="0.45">
      <c r="A615" s="22"/>
    </row>
    <row r="616" spans="1:1" x14ac:dyDescent="0.45">
      <c r="A616" s="22"/>
    </row>
    <row r="617" spans="1:1" x14ac:dyDescent="0.45">
      <c r="A617" s="22"/>
    </row>
    <row r="618" spans="1:1" x14ac:dyDescent="0.45">
      <c r="A618" s="22"/>
    </row>
    <row r="619" spans="1:1" x14ac:dyDescent="0.45">
      <c r="A619" s="22"/>
    </row>
    <row r="620" spans="1:1" x14ac:dyDescent="0.45">
      <c r="A620" s="22"/>
    </row>
    <row r="621" spans="1:1" x14ac:dyDescent="0.45">
      <c r="A621" s="22"/>
    </row>
    <row r="622" spans="1:1" x14ac:dyDescent="0.45">
      <c r="A622" s="22"/>
    </row>
    <row r="623" spans="1:1" x14ac:dyDescent="0.45">
      <c r="A623" s="22"/>
    </row>
    <row r="624" spans="1:1" x14ac:dyDescent="0.45">
      <c r="A624" s="22"/>
    </row>
    <row r="625" spans="1:1" x14ac:dyDescent="0.45">
      <c r="A625" s="22"/>
    </row>
    <row r="626" spans="1:1" x14ac:dyDescent="0.45">
      <c r="A626" s="22"/>
    </row>
    <row r="627" spans="1:1" x14ac:dyDescent="0.45">
      <c r="A627" s="22"/>
    </row>
    <row r="628" spans="1:1" x14ac:dyDescent="0.45">
      <c r="A628" s="22"/>
    </row>
    <row r="629" spans="1:1" x14ac:dyDescent="0.45">
      <c r="A629" s="22"/>
    </row>
    <row r="630" spans="1:1" x14ac:dyDescent="0.45">
      <c r="A630" s="22"/>
    </row>
    <row r="631" spans="1:1" x14ac:dyDescent="0.45">
      <c r="A631" s="22"/>
    </row>
    <row r="632" spans="1:1" x14ac:dyDescent="0.45">
      <c r="A632" s="22"/>
    </row>
    <row r="633" spans="1:1" x14ac:dyDescent="0.45">
      <c r="A633" s="22"/>
    </row>
    <row r="634" spans="1:1" x14ac:dyDescent="0.45">
      <c r="A634" s="22"/>
    </row>
    <row r="635" spans="1:1" x14ac:dyDescent="0.45">
      <c r="A635" s="22"/>
    </row>
    <row r="636" spans="1:1" x14ac:dyDescent="0.45">
      <c r="A636" s="22"/>
    </row>
    <row r="637" spans="1:1" x14ac:dyDescent="0.45">
      <c r="A637" s="22"/>
    </row>
    <row r="638" spans="1:1" x14ac:dyDescent="0.45">
      <c r="A638" s="22"/>
    </row>
    <row r="639" spans="1:1" x14ac:dyDescent="0.45">
      <c r="A639" s="22"/>
    </row>
    <row r="640" spans="1:1" x14ac:dyDescent="0.45">
      <c r="A640" s="22"/>
    </row>
    <row r="641" spans="1:1" x14ac:dyDescent="0.45">
      <c r="A641" s="22"/>
    </row>
    <row r="642" spans="1:1" x14ac:dyDescent="0.45">
      <c r="A642" s="22"/>
    </row>
    <row r="643" spans="1:1" x14ac:dyDescent="0.45">
      <c r="A643" s="22"/>
    </row>
    <row r="644" spans="1:1" x14ac:dyDescent="0.45">
      <c r="A644" s="22"/>
    </row>
    <row r="645" spans="1:1" x14ac:dyDescent="0.45">
      <c r="A645" s="22"/>
    </row>
    <row r="646" spans="1:1" x14ac:dyDescent="0.45">
      <c r="A646" s="22"/>
    </row>
    <row r="647" spans="1:1" x14ac:dyDescent="0.45">
      <c r="A647" s="22"/>
    </row>
    <row r="648" spans="1:1" x14ac:dyDescent="0.45">
      <c r="A648" s="22"/>
    </row>
    <row r="649" spans="1:1" x14ac:dyDescent="0.45">
      <c r="A649" s="22"/>
    </row>
    <row r="650" spans="1:1" x14ac:dyDescent="0.45">
      <c r="A650" s="22"/>
    </row>
    <row r="651" spans="1:1" x14ac:dyDescent="0.45">
      <c r="A651" s="22"/>
    </row>
    <row r="652" spans="1:1" x14ac:dyDescent="0.45">
      <c r="A652" s="22"/>
    </row>
    <row r="653" spans="1:1" x14ac:dyDescent="0.45">
      <c r="A653" s="22"/>
    </row>
    <row r="654" spans="1:1" x14ac:dyDescent="0.45">
      <c r="A654" s="22"/>
    </row>
    <row r="655" spans="1:1" x14ac:dyDescent="0.45">
      <c r="A655" s="22"/>
    </row>
    <row r="656" spans="1:1" x14ac:dyDescent="0.45">
      <c r="A656" s="22"/>
    </row>
    <row r="657" spans="1:1" x14ac:dyDescent="0.45">
      <c r="A657" s="22"/>
    </row>
    <row r="658" spans="1:1" x14ac:dyDescent="0.45">
      <c r="A658" s="22"/>
    </row>
    <row r="659" spans="1:1" x14ac:dyDescent="0.45">
      <c r="A659" s="22"/>
    </row>
    <row r="660" spans="1:1" x14ac:dyDescent="0.45">
      <c r="A660" s="22"/>
    </row>
    <row r="661" spans="1:1" x14ac:dyDescent="0.45">
      <c r="A661" s="22"/>
    </row>
    <row r="662" spans="1:1" x14ac:dyDescent="0.45">
      <c r="A662" s="22"/>
    </row>
    <row r="663" spans="1:1" x14ac:dyDescent="0.45">
      <c r="A663" s="22"/>
    </row>
    <row r="664" spans="1:1" x14ac:dyDescent="0.45">
      <c r="A664" s="22"/>
    </row>
    <row r="665" spans="1:1" x14ac:dyDescent="0.45">
      <c r="A665" s="22"/>
    </row>
    <row r="666" spans="1:1" x14ac:dyDescent="0.45">
      <c r="A666" s="22"/>
    </row>
    <row r="667" spans="1:1" x14ac:dyDescent="0.45">
      <c r="A667" s="22"/>
    </row>
    <row r="668" spans="1:1" x14ac:dyDescent="0.45">
      <c r="A668" s="22"/>
    </row>
    <row r="669" spans="1:1" x14ac:dyDescent="0.45">
      <c r="A669" s="22"/>
    </row>
    <row r="670" spans="1:1" x14ac:dyDescent="0.45">
      <c r="A670" s="22"/>
    </row>
    <row r="671" spans="1:1" x14ac:dyDescent="0.45">
      <c r="A671" s="22"/>
    </row>
    <row r="672" spans="1:1" x14ac:dyDescent="0.45">
      <c r="A672" s="22"/>
    </row>
    <row r="673" spans="1:1" x14ac:dyDescent="0.45">
      <c r="A673" s="22"/>
    </row>
    <row r="674" spans="1:1" x14ac:dyDescent="0.45">
      <c r="A674" s="22"/>
    </row>
    <row r="675" spans="1:1" x14ac:dyDescent="0.45">
      <c r="A675" s="22"/>
    </row>
    <row r="676" spans="1:1" x14ac:dyDescent="0.45">
      <c r="A676" s="22"/>
    </row>
    <row r="677" spans="1:1" x14ac:dyDescent="0.45">
      <c r="A677" s="22"/>
    </row>
    <row r="678" spans="1:1" x14ac:dyDescent="0.45">
      <c r="A678" s="22"/>
    </row>
    <row r="679" spans="1:1" x14ac:dyDescent="0.45">
      <c r="A679" s="22"/>
    </row>
    <row r="680" spans="1:1" x14ac:dyDescent="0.45">
      <c r="A680" s="22"/>
    </row>
    <row r="681" spans="1:1" x14ac:dyDescent="0.45">
      <c r="A681" s="22"/>
    </row>
    <row r="682" spans="1:1" x14ac:dyDescent="0.45">
      <c r="A682" s="22"/>
    </row>
    <row r="683" spans="1:1" x14ac:dyDescent="0.45">
      <c r="A683" s="22"/>
    </row>
    <row r="684" spans="1:1" x14ac:dyDescent="0.45">
      <c r="A684" s="22"/>
    </row>
    <row r="685" spans="1:1" x14ac:dyDescent="0.45">
      <c r="A685" s="22"/>
    </row>
    <row r="686" spans="1:1" x14ac:dyDescent="0.45">
      <c r="A686" s="22"/>
    </row>
    <row r="687" spans="1:1" x14ac:dyDescent="0.45">
      <c r="A687" s="22"/>
    </row>
    <row r="688" spans="1:1" x14ac:dyDescent="0.45">
      <c r="A688" s="22"/>
    </row>
    <row r="689" spans="1:1" x14ac:dyDescent="0.45">
      <c r="A689" s="22"/>
    </row>
    <row r="690" spans="1:1" x14ac:dyDescent="0.45">
      <c r="A690" s="22"/>
    </row>
    <row r="691" spans="1:1" x14ac:dyDescent="0.45">
      <c r="A691" s="22"/>
    </row>
    <row r="692" spans="1:1" x14ac:dyDescent="0.45">
      <c r="A692" s="22"/>
    </row>
    <row r="693" spans="1:1" x14ac:dyDescent="0.45">
      <c r="A693" s="22"/>
    </row>
    <row r="694" spans="1:1" x14ac:dyDescent="0.45">
      <c r="A694" s="22"/>
    </row>
    <row r="695" spans="1:1" x14ac:dyDescent="0.45">
      <c r="A695" s="22"/>
    </row>
    <row r="696" spans="1:1" x14ac:dyDescent="0.45">
      <c r="A696" s="22"/>
    </row>
    <row r="697" spans="1:1" x14ac:dyDescent="0.45">
      <c r="A697" s="22"/>
    </row>
    <row r="698" spans="1:1" x14ac:dyDescent="0.45">
      <c r="A698" s="22"/>
    </row>
    <row r="699" spans="1:1" x14ac:dyDescent="0.45">
      <c r="A699" s="22"/>
    </row>
    <row r="700" spans="1:1" x14ac:dyDescent="0.45">
      <c r="A700" s="22"/>
    </row>
    <row r="701" spans="1:1" x14ac:dyDescent="0.45">
      <c r="A701" s="22"/>
    </row>
    <row r="702" spans="1:1" x14ac:dyDescent="0.45">
      <c r="A702" s="22"/>
    </row>
    <row r="703" spans="1:1" x14ac:dyDescent="0.45">
      <c r="A703" s="22"/>
    </row>
    <row r="704" spans="1:1" x14ac:dyDescent="0.45">
      <c r="A704" s="22"/>
    </row>
    <row r="705" spans="1:1" x14ac:dyDescent="0.45">
      <c r="A705" s="22"/>
    </row>
    <row r="706" spans="1:1" x14ac:dyDescent="0.45">
      <c r="A706" s="22"/>
    </row>
    <row r="707" spans="1:1" x14ac:dyDescent="0.45">
      <c r="A707" s="22"/>
    </row>
    <row r="708" spans="1:1" x14ac:dyDescent="0.45">
      <c r="A708" s="22"/>
    </row>
    <row r="709" spans="1:1" x14ac:dyDescent="0.45">
      <c r="A709" s="22"/>
    </row>
    <row r="710" spans="1:1" x14ac:dyDescent="0.45">
      <c r="A710" s="22"/>
    </row>
    <row r="711" spans="1:1" x14ac:dyDescent="0.45">
      <c r="A711" s="22"/>
    </row>
    <row r="712" spans="1:1" x14ac:dyDescent="0.45">
      <c r="A712" s="22"/>
    </row>
    <row r="713" spans="1:1" x14ac:dyDescent="0.45">
      <c r="A713" s="22"/>
    </row>
    <row r="714" spans="1:1" x14ac:dyDescent="0.45">
      <c r="A714" s="22"/>
    </row>
    <row r="715" spans="1:1" x14ac:dyDescent="0.45">
      <c r="A715" s="22"/>
    </row>
    <row r="716" spans="1:1" x14ac:dyDescent="0.45">
      <c r="A716" s="22"/>
    </row>
    <row r="717" spans="1:1" x14ac:dyDescent="0.45">
      <c r="A717" s="22"/>
    </row>
    <row r="718" spans="1:1" x14ac:dyDescent="0.45">
      <c r="A718" s="22"/>
    </row>
    <row r="719" spans="1:1" x14ac:dyDescent="0.45">
      <c r="A719" s="22"/>
    </row>
    <row r="720" spans="1:1" x14ac:dyDescent="0.45">
      <c r="A720" s="22"/>
    </row>
    <row r="721" spans="1:1" x14ac:dyDescent="0.45">
      <c r="A721" s="22"/>
    </row>
    <row r="722" spans="1:1" x14ac:dyDescent="0.45">
      <c r="A722" s="22"/>
    </row>
    <row r="723" spans="1:1" x14ac:dyDescent="0.45">
      <c r="A723" s="22"/>
    </row>
    <row r="724" spans="1:1" x14ac:dyDescent="0.45">
      <c r="A724" s="22"/>
    </row>
    <row r="725" spans="1:1" x14ac:dyDescent="0.45">
      <c r="A725" s="22"/>
    </row>
    <row r="726" spans="1:1" x14ac:dyDescent="0.45">
      <c r="A726" s="22"/>
    </row>
    <row r="727" spans="1:1" x14ac:dyDescent="0.45">
      <c r="A727" s="22"/>
    </row>
    <row r="728" spans="1:1" x14ac:dyDescent="0.45">
      <c r="A728" s="22"/>
    </row>
    <row r="729" spans="1:1" x14ac:dyDescent="0.45">
      <c r="A729" s="22"/>
    </row>
    <row r="730" spans="1:1" x14ac:dyDescent="0.45">
      <c r="A730" s="22"/>
    </row>
    <row r="731" spans="1:1" x14ac:dyDescent="0.45">
      <c r="A731" s="22"/>
    </row>
    <row r="732" spans="1:1" x14ac:dyDescent="0.45">
      <c r="A732" s="22"/>
    </row>
    <row r="733" spans="1:1" x14ac:dyDescent="0.45">
      <c r="A733" s="22"/>
    </row>
    <row r="734" spans="1:1" x14ac:dyDescent="0.45">
      <c r="A734" s="22"/>
    </row>
    <row r="735" spans="1:1" x14ac:dyDescent="0.45">
      <c r="A735" s="22"/>
    </row>
    <row r="736" spans="1:1" x14ac:dyDescent="0.45">
      <c r="A736" s="22"/>
    </row>
    <row r="737" spans="1:1" x14ac:dyDescent="0.45">
      <c r="A737" s="22"/>
    </row>
    <row r="738" spans="1:1" x14ac:dyDescent="0.45">
      <c r="A738" s="22"/>
    </row>
    <row r="739" spans="1:1" x14ac:dyDescent="0.45">
      <c r="A739" s="22"/>
    </row>
    <row r="740" spans="1:1" x14ac:dyDescent="0.45">
      <c r="A740" s="22"/>
    </row>
    <row r="741" spans="1:1" x14ac:dyDescent="0.45">
      <c r="A741" s="22"/>
    </row>
    <row r="742" spans="1:1" x14ac:dyDescent="0.45">
      <c r="A742" s="22"/>
    </row>
    <row r="743" spans="1:1" x14ac:dyDescent="0.45">
      <c r="A743" s="22"/>
    </row>
    <row r="744" spans="1:1" x14ac:dyDescent="0.45">
      <c r="A744" s="22"/>
    </row>
    <row r="745" spans="1:1" x14ac:dyDescent="0.45">
      <c r="A745" s="22"/>
    </row>
    <row r="746" spans="1:1" x14ac:dyDescent="0.45">
      <c r="A746" s="22"/>
    </row>
    <row r="747" spans="1:1" x14ac:dyDescent="0.45">
      <c r="A747" s="22"/>
    </row>
    <row r="748" spans="1:1" x14ac:dyDescent="0.45">
      <c r="A748" s="22"/>
    </row>
    <row r="749" spans="1:1" x14ac:dyDescent="0.45">
      <c r="A749" s="22"/>
    </row>
    <row r="750" spans="1:1" x14ac:dyDescent="0.45">
      <c r="A750" s="22"/>
    </row>
    <row r="751" spans="1:1" x14ac:dyDescent="0.45">
      <c r="A751" s="22"/>
    </row>
    <row r="752" spans="1:1" x14ac:dyDescent="0.45">
      <c r="A752" s="22"/>
    </row>
    <row r="753" spans="1:1" x14ac:dyDescent="0.45">
      <c r="A753" s="22"/>
    </row>
    <row r="754" spans="1:1" x14ac:dyDescent="0.45">
      <c r="A754" s="22"/>
    </row>
    <row r="755" spans="1:1" x14ac:dyDescent="0.45">
      <c r="A755" s="22"/>
    </row>
    <row r="756" spans="1:1" x14ac:dyDescent="0.45">
      <c r="A756" s="22"/>
    </row>
    <row r="757" spans="1:1" x14ac:dyDescent="0.45">
      <c r="A757" s="22"/>
    </row>
    <row r="758" spans="1:1" x14ac:dyDescent="0.45">
      <c r="A758" s="22"/>
    </row>
    <row r="759" spans="1:1" x14ac:dyDescent="0.45">
      <c r="A759" s="22"/>
    </row>
    <row r="760" spans="1:1" x14ac:dyDescent="0.45">
      <c r="A760" s="22"/>
    </row>
    <row r="761" spans="1:1" x14ac:dyDescent="0.45">
      <c r="A761" s="22"/>
    </row>
    <row r="762" spans="1:1" x14ac:dyDescent="0.45">
      <c r="A762" s="22"/>
    </row>
    <row r="763" spans="1:1" x14ac:dyDescent="0.45">
      <c r="A763" s="22"/>
    </row>
    <row r="764" spans="1:1" x14ac:dyDescent="0.45">
      <c r="A764" s="22"/>
    </row>
    <row r="765" spans="1:1" x14ac:dyDescent="0.45">
      <c r="A765" s="22"/>
    </row>
    <row r="766" spans="1:1" x14ac:dyDescent="0.45">
      <c r="A766" s="22"/>
    </row>
    <row r="767" spans="1:1" x14ac:dyDescent="0.45">
      <c r="A767" s="22"/>
    </row>
    <row r="768" spans="1:1" x14ac:dyDescent="0.45">
      <c r="A768" s="22"/>
    </row>
    <row r="769" spans="1:1" x14ac:dyDescent="0.45">
      <c r="A769" s="22"/>
    </row>
    <row r="770" spans="1:1" x14ac:dyDescent="0.45">
      <c r="A770" s="22"/>
    </row>
    <row r="771" spans="1:1" x14ac:dyDescent="0.45">
      <c r="A771" s="22"/>
    </row>
    <row r="772" spans="1:1" x14ac:dyDescent="0.45">
      <c r="A772" s="22"/>
    </row>
    <row r="773" spans="1:1" x14ac:dyDescent="0.45">
      <c r="A773" s="22"/>
    </row>
    <row r="774" spans="1:1" x14ac:dyDescent="0.45">
      <c r="A774" s="22"/>
    </row>
    <row r="775" spans="1:1" x14ac:dyDescent="0.45">
      <c r="A775" s="22"/>
    </row>
    <row r="776" spans="1:1" x14ac:dyDescent="0.45">
      <c r="A776" s="22"/>
    </row>
    <row r="777" spans="1:1" x14ac:dyDescent="0.45">
      <c r="A777" s="22"/>
    </row>
    <row r="778" spans="1:1" x14ac:dyDescent="0.45">
      <c r="A778" s="22"/>
    </row>
    <row r="779" spans="1:1" x14ac:dyDescent="0.45">
      <c r="A779" s="22"/>
    </row>
    <row r="780" spans="1:1" x14ac:dyDescent="0.45">
      <c r="A780" s="22"/>
    </row>
    <row r="781" spans="1:1" x14ac:dyDescent="0.45">
      <c r="A781" s="22"/>
    </row>
    <row r="782" spans="1:1" x14ac:dyDescent="0.45">
      <c r="A782" s="22"/>
    </row>
    <row r="783" spans="1:1" x14ac:dyDescent="0.45">
      <c r="A783" s="22"/>
    </row>
    <row r="784" spans="1:1" x14ac:dyDescent="0.45">
      <c r="A784" s="22"/>
    </row>
    <row r="785" spans="1:1" x14ac:dyDescent="0.45">
      <c r="A785" s="22"/>
    </row>
    <row r="786" spans="1:1" x14ac:dyDescent="0.45">
      <c r="A786" s="22"/>
    </row>
    <row r="787" spans="1:1" x14ac:dyDescent="0.45">
      <c r="A787" s="22"/>
    </row>
    <row r="788" spans="1:1" x14ac:dyDescent="0.45">
      <c r="A788" s="22"/>
    </row>
    <row r="789" spans="1:1" x14ac:dyDescent="0.45">
      <c r="A789" s="22"/>
    </row>
    <row r="790" spans="1:1" x14ac:dyDescent="0.45">
      <c r="A790" s="22"/>
    </row>
    <row r="791" spans="1:1" x14ac:dyDescent="0.45">
      <c r="A791" s="22"/>
    </row>
    <row r="792" spans="1:1" x14ac:dyDescent="0.45">
      <c r="A792" s="22"/>
    </row>
    <row r="793" spans="1:1" x14ac:dyDescent="0.45">
      <c r="A793" s="22"/>
    </row>
    <row r="794" spans="1:1" x14ac:dyDescent="0.45">
      <c r="A794" s="22"/>
    </row>
    <row r="795" spans="1:1" x14ac:dyDescent="0.45">
      <c r="A795" s="22"/>
    </row>
    <row r="796" spans="1:1" x14ac:dyDescent="0.45">
      <c r="A796" s="22"/>
    </row>
    <row r="797" spans="1:1" x14ac:dyDescent="0.45">
      <c r="A797" s="22"/>
    </row>
    <row r="798" spans="1:1" x14ac:dyDescent="0.45">
      <c r="A798" s="22"/>
    </row>
    <row r="799" spans="1:1" x14ac:dyDescent="0.45">
      <c r="A799" s="22"/>
    </row>
    <row r="800" spans="1:1" x14ac:dyDescent="0.45">
      <c r="A800" s="22"/>
    </row>
    <row r="801" spans="1:1" x14ac:dyDescent="0.45">
      <c r="A801" s="22"/>
    </row>
    <row r="802" spans="1:1" x14ac:dyDescent="0.45">
      <c r="A802" s="22"/>
    </row>
    <row r="803" spans="1:1" x14ac:dyDescent="0.45">
      <c r="A803" s="22"/>
    </row>
    <row r="804" spans="1:1" x14ac:dyDescent="0.45">
      <c r="A804" s="22"/>
    </row>
    <row r="805" spans="1:1" x14ac:dyDescent="0.45">
      <c r="A805" s="22"/>
    </row>
    <row r="806" spans="1:1" x14ac:dyDescent="0.45">
      <c r="A806" s="22"/>
    </row>
    <row r="807" spans="1:1" x14ac:dyDescent="0.45">
      <c r="A807" s="22"/>
    </row>
    <row r="808" spans="1:1" x14ac:dyDescent="0.45">
      <c r="A808" s="22"/>
    </row>
    <row r="809" spans="1:1" x14ac:dyDescent="0.45">
      <c r="A809" s="22"/>
    </row>
    <row r="810" spans="1:1" x14ac:dyDescent="0.45">
      <c r="A810" s="22"/>
    </row>
    <row r="811" spans="1:1" x14ac:dyDescent="0.45">
      <c r="A811" s="22"/>
    </row>
    <row r="812" spans="1:1" x14ac:dyDescent="0.45">
      <c r="A812" s="22"/>
    </row>
    <row r="813" spans="1:1" x14ac:dyDescent="0.45">
      <c r="A813" s="22"/>
    </row>
    <row r="814" spans="1:1" x14ac:dyDescent="0.45">
      <c r="A814" s="22"/>
    </row>
    <row r="815" spans="1:1" x14ac:dyDescent="0.45">
      <c r="A815" s="22"/>
    </row>
    <row r="816" spans="1:1" x14ac:dyDescent="0.45">
      <c r="A816" s="22"/>
    </row>
    <row r="817" spans="1:1" x14ac:dyDescent="0.45">
      <c r="A817" s="22"/>
    </row>
    <row r="818" spans="1:1" x14ac:dyDescent="0.45">
      <c r="A818" s="22"/>
    </row>
    <row r="819" spans="1:1" x14ac:dyDescent="0.45">
      <c r="A819" s="22"/>
    </row>
    <row r="820" spans="1:1" x14ac:dyDescent="0.45">
      <c r="A820" s="22"/>
    </row>
    <row r="821" spans="1:1" x14ac:dyDescent="0.45">
      <c r="A821" s="22"/>
    </row>
    <row r="822" spans="1:1" x14ac:dyDescent="0.45">
      <c r="A822" s="22"/>
    </row>
    <row r="823" spans="1:1" x14ac:dyDescent="0.45">
      <c r="A823" s="22"/>
    </row>
    <row r="824" spans="1:1" x14ac:dyDescent="0.45">
      <c r="A824" s="22"/>
    </row>
    <row r="825" spans="1:1" x14ac:dyDescent="0.45">
      <c r="A825" s="22"/>
    </row>
    <row r="826" spans="1:1" x14ac:dyDescent="0.45">
      <c r="A826" s="22"/>
    </row>
    <row r="827" spans="1:1" x14ac:dyDescent="0.45">
      <c r="A827" s="22"/>
    </row>
    <row r="828" spans="1:1" x14ac:dyDescent="0.45">
      <c r="A828" s="22"/>
    </row>
    <row r="829" spans="1:1" x14ac:dyDescent="0.45">
      <c r="A829" s="22"/>
    </row>
    <row r="830" spans="1:1" x14ac:dyDescent="0.45">
      <c r="A830" s="22"/>
    </row>
    <row r="831" spans="1:1" x14ac:dyDescent="0.45">
      <c r="A831" s="22"/>
    </row>
    <row r="832" spans="1:1" x14ac:dyDescent="0.45">
      <c r="A832" s="22"/>
    </row>
    <row r="833" spans="1:1" x14ac:dyDescent="0.45">
      <c r="A833" s="22"/>
    </row>
    <row r="834" spans="1:1" x14ac:dyDescent="0.45">
      <c r="A834" s="22"/>
    </row>
    <row r="835" spans="1:1" x14ac:dyDescent="0.45">
      <c r="A835" s="22"/>
    </row>
    <row r="836" spans="1:1" x14ac:dyDescent="0.45">
      <c r="A836" s="22"/>
    </row>
    <row r="837" spans="1:1" x14ac:dyDescent="0.45">
      <c r="A837" s="22"/>
    </row>
    <row r="838" spans="1:1" x14ac:dyDescent="0.45">
      <c r="A838" s="22"/>
    </row>
    <row r="839" spans="1:1" x14ac:dyDescent="0.45">
      <c r="A839" s="22"/>
    </row>
    <row r="840" spans="1:1" x14ac:dyDescent="0.45">
      <c r="A840" s="22"/>
    </row>
    <row r="841" spans="1:1" x14ac:dyDescent="0.45">
      <c r="A841" s="22"/>
    </row>
    <row r="842" spans="1:1" x14ac:dyDescent="0.45">
      <c r="A842" s="22"/>
    </row>
    <row r="843" spans="1:1" x14ac:dyDescent="0.45">
      <c r="A843" s="22"/>
    </row>
    <row r="844" spans="1:1" x14ac:dyDescent="0.45">
      <c r="A844" s="22"/>
    </row>
    <row r="845" spans="1:1" x14ac:dyDescent="0.45">
      <c r="A845" s="22"/>
    </row>
    <row r="846" spans="1:1" x14ac:dyDescent="0.45">
      <c r="A846" s="22"/>
    </row>
    <row r="847" spans="1:1" x14ac:dyDescent="0.45">
      <c r="A847" s="22"/>
    </row>
    <row r="848" spans="1:1" x14ac:dyDescent="0.45">
      <c r="A848" s="22"/>
    </row>
    <row r="849" spans="1:1" x14ac:dyDescent="0.45">
      <c r="A849" s="22"/>
    </row>
    <row r="850" spans="1:1" x14ac:dyDescent="0.45">
      <c r="A850" s="22"/>
    </row>
    <row r="851" spans="1:1" x14ac:dyDescent="0.45">
      <c r="A851" s="22"/>
    </row>
    <row r="852" spans="1:1" x14ac:dyDescent="0.45">
      <c r="A852" s="22"/>
    </row>
    <row r="853" spans="1:1" x14ac:dyDescent="0.45">
      <c r="A853" s="22"/>
    </row>
    <row r="854" spans="1:1" x14ac:dyDescent="0.45">
      <c r="A854" s="22"/>
    </row>
    <row r="855" spans="1:1" x14ac:dyDescent="0.45">
      <c r="A855" s="22"/>
    </row>
    <row r="856" spans="1:1" x14ac:dyDescent="0.45">
      <c r="A856" s="22"/>
    </row>
    <row r="857" spans="1:1" x14ac:dyDescent="0.45">
      <c r="A857" s="22"/>
    </row>
    <row r="858" spans="1:1" x14ac:dyDescent="0.45">
      <c r="A858" s="22"/>
    </row>
    <row r="859" spans="1:1" x14ac:dyDescent="0.45">
      <c r="A859" s="22"/>
    </row>
    <row r="860" spans="1:1" x14ac:dyDescent="0.45">
      <c r="A860" s="22"/>
    </row>
    <row r="861" spans="1:1" x14ac:dyDescent="0.45">
      <c r="A861" s="22"/>
    </row>
    <row r="862" spans="1:1" x14ac:dyDescent="0.45">
      <c r="A862" s="22"/>
    </row>
    <row r="863" spans="1:1" x14ac:dyDescent="0.45">
      <c r="A863" s="22"/>
    </row>
    <row r="864" spans="1:1" x14ac:dyDescent="0.45">
      <c r="A864" s="22"/>
    </row>
    <row r="865" spans="1:1" x14ac:dyDescent="0.45">
      <c r="A865" s="22"/>
    </row>
    <row r="866" spans="1:1" x14ac:dyDescent="0.45">
      <c r="A866" s="22"/>
    </row>
    <row r="867" spans="1:1" x14ac:dyDescent="0.45">
      <c r="A867" s="22"/>
    </row>
    <row r="868" spans="1:1" x14ac:dyDescent="0.45">
      <c r="A868" s="22"/>
    </row>
    <row r="869" spans="1:1" x14ac:dyDescent="0.45">
      <c r="A869" s="22"/>
    </row>
    <row r="870" spans="1:1" x14ac:dyDescent="0.45">
      <c r="A870" s="22"/>
    </row>
    <row r="871" spans="1:1" x14ac:dyDescent="0.45">
      <c r="A871" s="22"/>
    </row>
    <row r="872" spans="1:1" x14ac:dyDescent="0.45">
      <c r="A872" s="22"/>
    </row>
    <row r="873" spans="1:1" x14ac:dyDescent="0.45">
      <c r="A873" s="22"/>
    </row>
    <row r="874" spans="1:1" x14ac:dyDescent="0.45">
      <c r="A874" s="22"/>
    </row>
    <row r="875" spans="1:1" x14ac:dyDescent="0.45">
      <c r="A875" s="22"/>
    </row>
    <row r="876" spans="1:1" x14ac:dyDescent="0.45">
      <c r="A876" s="22"/>
    </row>
    <row r="877" spans="1:1" x14ac:dyDescent="0.45">
      <c r="A877" s="22"/>
    </row>
    <row r="878" spans="1:1" x14ac:dyDescent="0.45">
      <c r="A878" s="22"/>
    </row>
    <row r="879" spans="1:1" x14ac:dyDescent="0.45">
      <c r="A879" s="22"/>
    </row>
    <row r="880" spans="1:1" x14ac:dyDescent="0.45">
      <c r="A880" s="22"/>
    </row>
    <row r="881" spans="1:1" x14ac:dyDescent="0.45">
      <c r="A881" s="22"/>
    </row>
    <row r="882" spans="1:1" x14ac:dyDescent="0.45">
      <c r="A882" s="22"/>
    </row>
    <row r="883" spans="1:1" x14ac:dyDescent="0.45">
      <c r="A883" s="22"/>
    </row>
    <row r="884" spans="1:1" x14ac:dyDescent="0.45">
      <c r="A884" s="22"/>
    </row>
    <row r="885" spans="1:1" x14ac:dyDescent="0.45">
      <c r="A885" s="22"/>
    </row>
    <row r="886" spans="1:1" x14ac:dyDescent="0.45">
      <c r="A886" s="22"/>
    </row>
    <row r="887" spans="1:1" x14ac:dyDescent="0.45">
      <c r="A887" s="22"/>
    </row>
    <row r="888" spans="1:1" x14ac:dyDescent="0.45">
      <c r="A888" s="22"/>
    </row>
    <row r="889" spans="1:1" x14ac:dyDescent="0.45">
      <c r="A889" s="22"/>
    </row>
    <row r="890" spans="1:1" x14ac:dyDescent="0.45">
      <c r="A890" s="22"/>
    </row>
    <row r="891" spans="1:1" x14ac:dyDescent="0.45">
      <c r="A891" s="22"/>
    </row>
    <row r="892" spans="1:1" x14ac:dyDescent="0.45">
      <c r="A892" s="22"/>
    </row>
    <row r="893" spans="1:1" x14ac:dyDescent="0.45">
      <c r="A893" s="22"/>
    </row>
    <row r="894" spans="1:1" x14ac:dyDescent="0.45">
      <c r="A894" s="22"/>
    </row>
    <row r="895" spans="1:1" x14ac:dyDescent="0.45">
      <c r="A895" s="22"/>
    </row>
    <row r="896" spans="1:1" x14ac:dyDescent="0.45">
      <c r="A896" s="22"/>
    </row>
    <row r="897" spans="1:1" x14ac:dyDescent="0.45">
      <c r="A897" s="22"/>
    </row>
    <row r="898" spans="1:1" x14ac:dyDescent="0.45">
      <c r="A898" s="22"/>
    </row>
    <row r="899" spans="1:1" x14ac:dyDescent="0.45">
      <c r="A899" s="22"/>
    </row>
    <row r="900" spans="1:1" x14ac:dyDescent="0.45">
      <c r="A900" s="22"/>
    </row>
    <row r="901" spans="1:1" x14ac:dyDescent="0.45">
      <c r="A901" s="22"/>
    </row>
    <row r="902" spans="1:1" x14ac:dyDescent="0.45">
      <c r="A902" s="22"/>
    </row>
    <row r="903" spans="1:1" x14ac:dyDescent="0.45">
      <c r="A903" s="22"/>
    </row>
    <row r="904" spans="1:1" x14ac:dyDescent="0.45">
      <c r="A904" s="22"/>
    </row>
    <row r="905" spans="1:1" x14ac:dyDescent="0.45">
      <c r="A905" s="22"/>
    </row>
    <row r="906" spans="1:1" x14ac:dyDescent="0.45">
      <c r="A906" s="22"/>
    </row>
    <row r="907" spans="1:1" x14ac:dyDescent="0.45">
      <c r="A907" s="22"/>
    </row>
    <row r="908" spans="1:1" x14ac:dyDescent="0.45">
      <c r="A908" s="22"/>
    </row>
    <row r="909" spans="1:1" x14ac:dyDescent="0.45">
      <c r="A909" s="22"/>
    </row>
    <row r="910" spans="1:1" x14ac:dyDescent="0.45">
      <c r="A910" s="22"/>
    </row>
    <row r="911" spans="1:1" x14ac:dyDescent="0.45">
      <c r="A911" s="22"/>
    </row>
    <row r="912" spans="1:1" x14ac:dyDescent="0.45">
      <c r="A912" s="22"/>
    </row>
    <row r="913" spans="1:1" x14ac:dyDescent="0.45">
      <c r="A913" s="22"/>
    </row>
    <row r="914" spans="1:1" x14ac:dyDescent="0.45">
      <c r="A914" s="22"/>
    </row>
    <row r="915" spans="1:1" x14ac:dyDescent="0.45">
      <c r="A915" s="22"/>
    </row>
    <row r="916" spans="1:1" x14ac:dyDescent="0.45">
      <c r="A916" s="22"/>
    </row>
    <row r="917" spans="1:1" x14ac:dyDescent="0.45">
      <c r="A917" s="22"/>
    </row>
    <row r="918" spans="1:1" x14ac:dyDescent="0.45">
      <c r="A918" s="22"/>
    </row>
    <row r="919" spans="1:1" x14ac:dyDescent="0.45">
      <c r="A919" s="22"/>
    </row>
    <row r="920" spans="1:1" x14ac:dyDescent="0.45">
      <c r="A920" s="22"/>
    </row>
    <row r="921" spans="1:1" x14ac:dyDescent="0.45">
      <c r="A921" s="22"/>
    </row>
    <row r="922" spans="1:1" x14ac:dyDescent="0.45">
      <c r="A922" s="22"/>
    </row>
    <row r="923" spans="1:1" x14ac:dyDescent="0.45">
      <c r="A923" s="22"/>
    </row>
    <row r="924" spans="1:1" x14ac:dyDescent="0.45">
      <c r="A924" s="22"/>
    </row>
    <row r="925" spans="1:1" x14ac:dyDescent="0.45">
      <c r="A925" s="22"/>
    </row>
    <row r="926" spans="1:1" x14ac:dyDescent="0.45">
      <c r="A926" s="22"/>
    </row>
    <row r="927" spans="1:1" x14ac:dyDescent="0.45">
      <c r="A927" s="22"/>
    </row>
    <row r="928" spans="1:1" x14ac:dyDescent="0.45">
      <c r="A928" s="22"/>
    </row>
    <row r="929" spans="1:1" x14ac:dyDescent="0.45">
      <c r="A929" s="22"/>
    </row>
    <row r="930" spans="1:1" x14ac:dyDescent="0.45">
      <c r="A930" s="22"/>
    </row>
    <row r="931" spans="1:1" x14ac:dyDescent="0.45">
      <c r="A931" s="22"/>
    </row>
    <row r="932" spans="1:1" x14ac:dyDescent="0.45">
      <c r="A932" s="22"/>
    </row>
    <row r="933" spans="1:1" x14ac:dyDescent="0.45">
      <c r="A933" s="22"/>
    </row>
    <row r="934" spans="1:1" x14ac:dyDescent="0.45">
      <c r="A934" s="22"/>
    </row>
    <row r="935" spans="1:1" x14ac:dyDescent="0.45">
      <c r="A935" s="22"/>
    </row>
    <row r="936" spans="1:1" x14ac:dyDescent="0.45">
      <c r="A936" s="22"/>
    </row>
    <row r="937" spans="1:1" x14ac:dyDescent="0.45">
      <c r="A937" s="22"/>
    </row>
    <row r="938" spans="1:1" x14ac:dyDescent="0.45">
      <c r="A938" s="22"/>
    </row>
    <row r="939" spans="1:1" x14ac:dyDescent="0.45">
      <c r="A939" s="22"/>
    </row>
    <row r="940" spans="1:1" x14ac:dyDescent="0.45">
      <c r="A940" s="22"/>
    </row>
    <row r="941" spans="1:1" x14ac:dyDescent="0.45">
      <c r="A941" s="22"/>
    </row>
    <row r="942" spans="1:1" x14ac:dyDescent="0.45">
      <c r="A942" s="22"/>
    </row>
    <row r="943" spans="1:1" x14ac:dyDescent="0.45">
      <c r="A943" s="22"/>
    </row>
    <row r="944" spans="1:1" x14ac:dyDescent="0.45">
      <c r="A944" s="22"/>
    </row>
    <row r="945" spans="1:1" x14ac:dyDescent="0.45">
      <c r="A945" s="22"/>
    </row>
    <row r="946" spans="1:1" x14ac:dyDescent="0.45">
      <c r="A946" s="22"/>
    </row>
    <row r="947" spans="1:1" x14ac:dyDescent="0.45">
      <c r="A947" s="22"/>
    </row>
    <row r="948" spans="1:1" x14ac:dyDescent="0.45">
      <c r="A948" s="22"/>
    </row>
    <row r="949" spans="1:1" x14ac:dyDescent="0.45">
      <c r="A949" s="22"/>
    </row>
    <row r="950" spans="1:1" x14ac:dyDescent="0.45">
      <c r="A950" s="22"/>
    </row>
    <row r="951" spans="1:1" x14ac:dyDescent="0.45">
      <c r="A951" s="22"/>
    </row>
    <row r="952" spans="1:1" x14ac:dyDescent="0.45">
      <c r="A952" s="22"/>
    </row>
    <row r="953" spans="1:1" x14ac:dyDescent="0.45">
      <c r="A953" s="22"/>
    </row>
    <row r="954" spans="1:1" x14ac:dyDescent="0.45">
      <c r="A954" s="22"/>
    </row>
    <row r="955" spans="1:1" x14ac:dyDescent="0.45">
      <c r="A955" s="22"/>
    </row>
  </sheetData>
  <pageMargins left="0.7" right="0.7" top="0.75" bottom="0.75" header="0.3" footer="0.3"/>
  <tableParts count="1">
    <tablePart r:id="rId1"/>
  </tablePart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9694F81-FE43-4454-AED7-274A0AF90C38}">
  <sheetPr codeName="Sheet8">
    <tabColor rgb="FF92D050"/>
  </sheetPr>
  <dimension ref="A1:D955"/>
  <sheetViews>
    <sheetView showGridLines="0" zoomScale="90" zoomScaleNormal="90" workbookViewId="0"/>
  </sheetViews>
  <sheetFormatPr defaultRowHeight="14.25" x14ac:dyDescent="0.45"/>
  <cols>
    <col min="1" max="1" width="13.86328125" bestFit="1" customWidth="1"/>
    <col min="2" max="2" width="13.1328125" bestFit="1" customWidth="1"/>
    <col min="3" max="3" width="13.3984375" customWidth="1"/>
    <col min="4" max="4" width="11.59765625" bestFit="1" customWidth="1"/>
  </cols>
  <sheetData>
    <row r="1" spans="1:4" x14ac:dyDescent="0.45">
      <c r="A1" t="s">
        <v>213</v>
      </c>
      <c r="B1" t="s">
        <v>208</v>
      </c>
      <c r="C1" t="s">
        <v>76</v>
      </c>
      <c r="D1" t="s">
        <v>211</v>
      </c>
    </row>
    <row r="2" spans="1:4" x14ac:dyDescent="0.45">
      <c r="A2" s="25">
        <v>43101</v>
      </c>
      <c r="B2">
        <v>1001</v>
      </c>
      <c r="C2" t="s">
        <v>97</v>
      </c>
      <c r="D2" s="18">
        <v>14880.525</v>
      </c>
    </row>
    <row r="3" spans="1:4" x14ac:dyDescent="0.45">
      <c r="A3" s="25">
        <v>43101</v>
      </c>
      <c r="B3">
        <v>1001</v>
      </c>
      <c r="C3" t="s">
        <v>97</v>
      </c>
      <c r="D3" s="18">
        <v>37544.925000000003</v>
      </c>
    </row>
    <row r="4" spans="1:4" x14ac:dyDescent="0.45">
      <c r="A4" s="25">
        <v>43101</v>
      </c>
      <c r="B4">
        <v>1001</v>
      </c>
      <c r="C4" t="s">
        <v>97</v>
      </c>
      <c r="D4" s="18">
        <v>41434.525000000001</v>
      </c>
    </row>
    <row r="5" spans="1:4" x14ac:dyDescent="0.45">
      <c r="A5" s="25">
        <v>43101</v>
      </c>
      <c r="B5">
        <v>1002</v>
      </c>
      <c r="C5" t="s">
        <v>104</v>
      </c>
      <c r="D5" s="18">
        <v>32271.525000000001</v>
      </c>
    </row>
    <row r="6" spans="1:4" x14ac:dyDescent="0.45">
      <c r="A6" s="25">
        <v>43101</v>
      </c>
      <c r="B6">
        <v>1002</v>
      </c>
      <c r="C6" t="s">
        <v>104</v>
      </c>
      <c r="D6" s="18">
        <v>2767.6</v>
      </c>
    </row>
    <row r="7" spans="1:4" x14ac:dyDescent="0.45">
      <c r="A7" s="25">
        <v>43101</v>
      </c>
      <c r="B7">
        <v>1001</v>
      </c>
      <c r="C7" t="s">
        <v>97</v>
      </c>
      <c r="D7" s="18">
        <v>8447.7250000000004</v>
      </c>
    </row>
    <row r="8" spans="1:4" x14ac:dyDescent="0.45">
      <c r="A8" s="25">
        <v>43101</v>
      </c>
      <c r="B8">
        <v>1001</v>
      </c>
      <c r="C8" t="s">
        <v>97</v>
      </c>
      <c r="D8" s="18">
        <v>42977.275000000001</v>
      </c>
    </row>
    <row r="9" spans="1:4" x14ac:dyDescent="0.45">
      <c r="A9" s="25">
        <v>43101</v>
      </c>
      <c r="B9">
        <v>1001</v>
      </c>
      <c r="C9" t="s">
        <v>97</v>
      </c>
      <c r="D9" s="18">
        <v>1762.4749999999999</v>
      </c>
    </row>
    <row r="10" spans="1:4" x14ac:dyDescent="0.45">
      <c r="A10" s="25">
        <v>43101</v>
      </c>
      <c r="B10">
        <v>1001</v>
      </c>
      <c r="C10" t="s">
        <v>97</v>
      </c>
      <c r="D10" s="18">
        <v>2314.125</v>
      </c>
    </row>
    <row r="11" spans="1:4" x14ac:dyDescent="0.45">
      <c r="A11" s="25">
        <v>43101</v>
      </c>
      <c r="B11">
        <v>1002</v>
      </c>
      <c r="C11" t="s">
        <v>104</v>
      </c>
      <c r="D11" s="18">
        <v>5904.5249999999996</v>
      </c>
    </row>
    <row r="12" spans="1:4" x14ac:dyDescent="0.45">
      <c r="A12" s="25">
        <v>43101</v>
      </c>
      <c r="B12">
        <v>1001</v>
      </c>
      <c r="C12" t="s">
        <v>145</v>
      </c>
      <c r="D12" s="18">
        <v>23192.674999999999</v>
      </c>
    </row>
    <row r="13" spans="1:4" x14ac:dyDescent="0.45">
      <c r="A13" s="25">
        <v>43101</v>
      </c>
      <c r="B13">
        <v>1001</v>
      </c>
      <c r="C13" t="s">
        <v>97</v>
      </c>
      <c r="D13" s="18">
        <v>22584.924999999999</v>
      </c>
    </row>
    <row r="14" spans="1:4" x14ac:dyDescent="0.45">
      <c r="A14" s="25">
        <v>43101</v>
      </c>
      <c r="B14">
        <v>1001</v>
      </c>
      <c r="C14" t="s">
        <v>97</v>
      </c>
      <c r="D14" s="18">
        <v>31991.025000000001</v>
      </c>
    </row>
    <row r="15" spans="1:4" x14ac:dyDescent="0.45">
      <c r="A15" s="25">
        <v>43101</v>
      </c>
      <c r="B15">
        <v>1001</v>
      </c>
      <c r="C15" t="s">
        <v>97</v>
      </c>
      <c r="D15" s="18">
        <v>23917.3</v>
      </c>
    </row>
    <row r="16" spans="1:4" x14ac:dyDescent="0.45">
      <c r="A16" s="25">
        <v>43101</v>
      </c>
      <c r="B16">
        <v>1002</v>
      </c>
      <c r="C16" t="s">
        <v>104</v>
      </c>
      <c r="D16" s="18">
        <v>12585.1</v>
      </c>
    </row>
    <row r="17" spans="1:4" x14ac:dyDescent="0.45">
      <c r="A17" s="25">
        <v>43101</v>
      </c>
      <c r="B17">
        <v>1002</v>
      </c>
      <c r="C17" t="s">
        <v>104</v>
      </c>
      <c r="D17" s="18">
        <v>20383</v>
      </c>
    </row>
    <row r="18" spans="1:4" x14ac:dyDescent="0.45">
      <c r="A18" s="25">
        <v>43101</v>
      </c>
      <c r="B18">
        <v>1002</v>
      </c>
      <c r="C18" t="s">
        <v>104</v>
      </c>
      <c r="D18" s="18">
        <v>39896.449999999997</v>
      </c>
    </row>
    <row r="19" spans="1:4" x14ac:dyDescent="0.45">
      <c r="A19" s="25">
        <v>43101</v>
      </c>
      <c r="B19">
        <v>1002</v>
      </c>
      <c r="C19" t="s">
        <v>104</v>
      </c>
      <c r="D19" s="18">
        <v>28101.424999999999</v>
      </c>
    </row>
    <row r="20" spans="1:4" x14ac:dyDescent="0.45">
      <c r="A20" s="25">
        <v>43101</v>
      </c>
      <c r="B20">
        <v>1001</v>
      </c>
      <c r="C20" t="s">
        <v>145</v>
      </c>
      <c r="D20" s="18">
        <v>31336.525000000001</v>
      </c>
    </row>
    <row r="21" spans="1:4" x14ac:dyDescent="0.45">
      <c r="A21" s="25">
        <v>43101</v>
      </c>
      <c r="B21">
        <v>1001</v>
      </c>
      <c r="C21" t="s">
        <v>145</v>
      </c>
      <c r="D21" s="18">
        <v>29214.075000000001</v>
      </c>
    </row>
    <row r="22" spans="1:4" x14ac:dyDescent="0.45">
      <c r="A22" s="25">
        <v>43101</v>
      </c>
      <c r="B22">
        <v>1001</v>
      </c>
      <c r="C22" t="s">
        <v>145</v>
      </c>
      <c r="D22" s="18">
        <v>42995.974999999999</v>
      </c>
    </row>
    <row r="23" spans="1:4" x14ac:dyDescent="0.45">
      <c r="A23" s="25">
        <v>43101</v>
      </c>
      <c r="B23">
        <v>1001</v>
      </c>
      <c r="C23" t="s">
        <v>145</v>
      </c>
      <c r="D23" s="18">
        <v>32930.699999999997</v>
      </c>
    </row>
    <row r="24" spans="1:4" x14ac:dyDescent="0.45">
      <c r="A24" s="25">
        <v>43101</v>
      </c>
      <c r="B24">
        <v>1001</v>
      </c>
      <c r="C24" t="s">
        <v>97</v>
      </c>
      <c r="D24" s="18">
        <v>33197.175000000003</v>
      </c>
    </row>
    <row r="25" spans="1:4" x14ac:dyDescent="0.45">
      <c r="A25" s="25">
        <v>43101</v>
      </c>
      <c r="B25">
        <v>1001</v>
      </c>
      <c r="C25" t="s">
        <v>97</v>
      </c>
      <c r="D25" s="18">
        <v>40607.050000000003</v>
      </c>
    </row>
    <row r="26" spans="1:4" x14ac:dyDescent="0.45">
      <c r="A26" s="25">
        <v>43101</v>
      </c>
      <c r="B26">
        <v>1001</v>
      </c>
      <c r="C26" t="s">
        <v>97</v>
      </c>
      <c r="D26" s="18">
        <v>11491.15</v>
      </c>
    </row>
    <row r="27" spans="1:4" x14ac:dyDescent="0.45">
      <c r="A27" s="25">
        <v>43101</v>
      </c>
      <c r="B27">
        <v>1002</v>
      </c>
      <c r="C27" t="s">
        <v>104</v>
      </c>
      <c r="D27" s="18">
        <v>26203.375</v>
      </c>
    </row>
    <row r="28" spans="1:4" x14ac:dyDescent="0.45">
      <c r="A28" s="25">
        <v>43101</v>
      </c>
      <c r="B28">
        <v>1002</v>
      </c>
      <c r="C28" t="s">
        <v>104</v>
      </c>
      <c r="D28" s="18">
        <v>10233.575000000001</v>
      </c>
    </row>
    <row r="29" spans="1:4" x14ac:dyDescent="0.45">
      <c r="A29" s="25">
        <v>43101</v>
      </c>
      <c r="B29">
        <v>1001</v>
      </c>
      <c r="C29" t="s">
        <v>97</v>
      </c>
      <c r="D29" s="18">
        <v>2949.9250000000002</v>
      </c>
    </row>
    <row r="30" spans="1:4" x14ac:dyDescent="0.45">
      <c r="A30" s="25">
        <v>43101</v>
      </c>
      <c r="B30">
        <v>1001</v>
      </c>
      <c r="C30" t="s">
        <v>145</v>
      </c>
      <c r="D30" s="18">
        <v>41485.949999999997</v>
      </c>
    </row>
    <row r="31" spans="1:4" x14ac:dyDescent="0.45">
      <c r="A31" s="25">
        <v>43101</v>
      </c>
      <c r="B31">
        <v>1001</v>
      </c>
      <c r="C31" t="s">
        <v>145</v>
      </c>
      <c r="D31" s="18">
        <v>22795.3</v>
      </c>
    </row>
    <row r="32" spans="1:4" x14ac:dyDescent="0.45">
      <c r="A32" s="25">
        <v>43101</v>
      </c>
      <c r="B32">
        <v>1001</v>
      </c>
      <c r="C32" t="s">
        <v>145</v>
      </c>
      <c r="D32" s="18">
        <v>21649.924999999999</v>
      </c>
    </row>
    <row r="33" spans="1:4" x14ac:dyDescent="0.45">
      <c r="A33" s="25">
        <v>43101</v>
      </c>
      <c r="B33">
        <v>1001</v>
      </c>
      <c r="C33" t="s">
        <v>97</v>
      </c>
      <c r="D33" s="18">
        <v>25319.8</v>
      </c>
    </row>
    <row r="34" spans="1:4" x14ac:dyDescent="0.45">
      <c r="A34" s="25">
        <v>43101</v>
      </c>
      <c r="B34">
        <v>1001</v>
      </c>
      <c r="C34" t="s">
        <v>97</v>
      </c>
      <c r="D34" s="18">
        <v>38783.800000000003</v>
      </c>
    </row>
    <row r="35" spans="1:4" x14ac:dyDescent="0.45">
      <c r="A35" s="25">
        <v>43101</v>
      </c>
      <c r="B35">
        <v>1001</v>
      </c>
      <c r="C35" t="s">
        <v>145</v>
      </c>
      <c r="D35" s="18">
        <v>20079.125</v>
      </c>
    </row>
    <row r="36" spans="1:4" x14ac:dyDescent="0.45">
      <c r="A36" s="25">
        <v>43101</v>
      </c>
      <c r="B36">
        <v>1002</v>
      </c>
      <c r="C36" t="s">
        <v>104</v>
      </c>
      <c r="D36" s="18">
        <v>4483.3249999999998</v>
      </c>
    </row>
    <row r="37" spans="1:4" x14ac:dyDescent="0.45">
      <c r="A37" s="25">
        <v>43101</v>
      </c>
      <c r="B37">
        <v>1002</v>
      </c>
      <c r="C37" t="s">
        <v>104</v>
      </c>
      <c r="D37" s="18">
        <v>25628.35</v>
      </c>
    </row>
    <row r="38" spans="1:4" x14ac:dyDescent="0.45">
      <c r="A38" s="25">
        <v>43132</v>
      </c>
      <c r="B38">
        <v>1001</v>
      </c>
      <c r="C38" t="s">
        <v>145</v>
      </c>
      <c r="D38" s="18">
        <v>43846.824999999997</v>
      </c>
    </row>
    <row r="39" spans="1:4" x14ac:dyDescent="0.45">
      <c r="A39" s="25">
        <v>43132</v>
      </c>
      <c r="B39">
        <v>1001</v>
      </c>
      <c r="C39" t="s">
        <v>97</v>
      </c>
      <c r="D39" s="18">
        <v>1028.5</v>
      </c>
    </row>
    <row r="40" spans="1:4" x14ac:dyDescent="0.45">
      <c r="A40" s="25">
        <v>43132</v>
      </c>
      <c r="B40">
        <v>1001</v>
      </c>
      <c r="C40" t="s">
        <v>97</v>
      </c>
      <c r="D40" s="18">
        <v>23795.75</v>
      </c>
    </row>
    <row r="41" spans="1:4" x14ac:dyDescent="0.45">
      <c r="A41" s="25">
        <v>43132</v>
      </c>
      <c r="B41">
        <v>1002</v>
      </c>
      <c r="C41" t="s">
        <v>104</v>
      </c>
      <c r="D41" s="18">
        <v>40130.199999999997</v>
      </c>
    </row>
    <row r="42" spans="1:4" x14ac:dyDescent="0.45">
      <c r="A42" s="25">
        <v>43132</v>
      </c>
      <c r="B42">
        <v>1001</v>
      </c>
      <c r="C42" t="s">
        <v>97</v>
      </c>
      <c r="D42" s="18">
        <v>8424.35</v>
      </c>
    </row>
    <row r="43" spans="1:4" x14ac:dyDescent="0.45">
      <c r="A43" s="25">
        <v>43132</v>
      </c>
      <c r="B43">
        <v>1001</v>
      </c>
      <c r="C43" t="s">
        <v>97</v>
      </c>
      <c r="D43" s="18">
        <v>31355.224999999999</v>
      </c>
    </row>
    <row r="44" spans="1:4" x14ac:dyDescent="0.45">
      <c r="A44" s="25">
        <v>43132</v>
      </c>
      <c r="B44">
        <v>1001</v>
      </c>
      <c r="C44" t="s">
        <v>97</v>
      </c>
      <c r="D44" s="18">
        <v>31401.974999999999</v>
      </c>
    </row>
    <row r="45" spans="1:4" x14ac:dyDescent="0.45">
      <c r="A45" s="25">
        <v>43132</v>
      </c>
      <c r="B45">
        <v>1002</v>
      </c>
      <c r="C45" t="s">
        <v>104</v>
      </c>
      <c r="D45" s="18">
        <v>36787.574999999997</v>
      </c>
    </row>
    <row r="46" spans="1:4" x14ac:dyDescent="0.45">
      <c r="A46" s="25">
        <v>43132</v>
      </c>
      <c r="B46">
        <v>1001</v>
      </c>
      <c r="C46" t="s">
        <v>145</v>
      </c>
      <c r="D46" s="18">
        <v>43846.824999999997</v>
      </c>
    </row>
    <row r="47" spans="1:4" x14ac:dyDescent="0.45">
      <c r="A47" s="25">
        <v>43132</v>
      </c>
      <c r="B47">
        <v>1001</v>
      </c>
      <c r="C47" t="s">
        <v>97</v>
      </c>
      <c r="D47" s="18">
        <v>17937.974999999999</v>
      </c>
    </row>
    <row r="48" spans="1:4" x14ac:dyDescent="0.45">
      <c r="A48" s="25">
        <v>43132</v>
      </c>
      <c r="B48">
        <v>1001</v>
      </c>
      <c r="C48" t="s">
        <v>97</v>
      </c>
      <c r="D48" s="18">
        <v>24581.15</v>
      </c>
    </row>
    <row r="49" spans="1:4" x14ac:dyDescent="0.45">
      <c r="A49" s="25">
        <v>43132</v>
      </c>
      <c r="B49">
        <v>1001</v>
      </c>
      <c r="C49" t="s">
        <v>97</v>
      </c>
      <c r="D49" s="18">
        <v>8139.1750000000002</v>
      </c>
    </row>
    <row r="50" spans="1:4" x14ac:dyDescent="0.45">
      <c r="A50" s="25">
        <v>43132</v>
      </c>
      <c r="B50">
        <v>1001</v>
      </c>
      <c r="C50" t="s">
        <v>145</v>
      </c>
      <c r="D50" s="18">
        <v>13823.975</v>
      </c>
    </row>
    <row r="51" spans="1:4" x14ac:dyDescent="0.45">
      <c r="A51" s="25">
        <v>43132</v>
      </c>
      <c r="B51">
        <v>1001</v>
      </c>
      <c r="C51" t="s">
        <v>97</v>
      </c>
      <c r="D51" s="18">
        <v>5091.0749999999998</v>
      </c>
    </row>
    <row r="52" spans="1:4" x14ac:dyDescent="0.45">
      <c r="A52" s="25">
        <v>43132</v>
      </c>
      <c r="B52">
        <v>1001</v>
      </c>
      <c r="C52" t="s">
        <v>97</v>
      </c>
      <c r="D52" s="18">
        <v>8083.0749999999998</v>
      </c>
    </row>
    <row r="53" spans="1:4" x14ac:dyDescent="0.45">
      <c r="A53" s="25">
        <v>43132</v>
      </c>
      <c r="B53">
        <v>1001</v>
      </c>
      <c r="C53" t="s">
        <v>97</v>
      </c>
      <c r="D53" s="18">
        <v>11463.1</v>
      </c>
    </row>
    <row r="54" spans="1:4" x14ac:dyDescent="0.45">
      <c r="A54" s="25">
        <v>43132</v>
      </c>
      <c r="B54">
        <v>1001</v>
      </c>
      <c r="C54" t="s">
        <v>97</v>
      </c>
      <c r="D54" s="18">
        <v>7106</v>
      </c>
    </row>
    <row r="55" spans="1:4" x14ac:dyDescent="0.45">
      <c r="A55" s="25">
        <v>43132</v>
      </c>
      <c r="B55">
        <v>1001</v>
      </c>
      <c r="C55" t="s">
        <v>97</v>
      </c>
      <c r="D55" s="18">
        <v>11776.325000000001</v>
      </c>
    </row>
    <row r="56" spans="1:4" x14ac:dyDescent="0.45">
      <c r="A56" s="25">
        <v>43132</v>
      </c>
      <c r="B56">
        <v>1001</v>
      </c>
      <c r="C56" t="s">
        <v>145</v>
      </c>
      <c r="D56" s="18">
        <v>43846.824999999997</v>
      </c>
    </row>
    <row r="57" spans="1:4" x14ac:dyDescent="0.45">
      <c r="A57" s="25">
        <v>43132</v>
      </c>
      <c r="B57">
        <v>1002</v>
      </c>
      <c r="C57" t="s">
        <v>104</v>
      </c>
      <c r="D57" s="18">
        <v>15974.475</v>
      </c>
    </row>
    <row r="58" spans="1:4" x14ac:dyDescent="0.45">
      <c r="A58" s="25">
        <v>43132</v>
      </c>
      <c r="B58">
        <v>1001</v>
      </c>
      <c r="C58" t="s">
        <v>97</v>
      </c>
      <c r="D58" s="18">
        <v>27820.924999999999</v>
      </c>
    </row>
    <row r="59" spans="1:4" x14ac:dyDescent="0.45">
      <c r="A59" s="25">
        <v>43132</v>
      </c>
      <c r="B59">
        <v>1001</v>
      </c>
      <c r="C59" t="s">
        <v>145</v>
      </c>
      <c r="D59" s="18">
        <v>4866.6750000000002</v>
      </c>
    </row>
    <row r="60" spans="1:4" x14ac:dyDescent="0.45">
      <c r="A60" s="25">
        <v>43132</v>
      </c>
      <c r="B60">
        <v>1001</v>
      </c>
      <c r="C60" t="s">
        <v>97</v>
      </c>
      <c r="D60" s="18">
        <v>25460.05</v>
      </c>
    </row>
    <row r="61" spans="1:4" x14ac:dyDescent="0.45">
      <c r="A61" s="25">
        <v>43132</v>
      </c>
      <c r="B61">
        <v>1002</v>
      </c>
      <c r="C61" t="s">
        <v>104</v>
      </c>
      <c r="D61" s="18">
        <v>36193.85</v>
      </c>
    </row>
    <row r="62" spans="1:4" x14ac:dyDescent="0.45">
      <c r="A62" s="25">
        <v>43160</v>
      </c>
      <c r="B62">
        <v>1002</v>
      </c>
      <c r="C62" t="s">
        <v>104</v>
      </c>
      <c r="D62" s="18">
        <v>32159.325000000001</v>
      </c>
    </row>
    <row r="63" spans="1:4" x14ac:dyDescent="0.45">
      <c r="A63" s="25">
        <v>43160</v>
      </c>
      <c r="B63">
        <v>1001</v>
      </c>
      <c r="C63" t="s">
        <v>145</v>
      </c>
      <c r="D63" s="18">
        <v>32570.724999999999</v>
      </c>
    </row>
    <row r="64" spans="1:4" x14ac:dyDescent="0.45">
      <c r="A64" s="25">
        <v>43160</v>
      </c>
      <c r="B64">
        <v>1002</v>
      </c>
      <c r="C64" t="s">
        <v>104</v>
      </c>
      <c r="D64" s="18">
        <v>1332.375</v>
      </c>
    </row>
    <row r="65" spans="1:4" x14ac:dyDescent="0.45">
      <c r="A65" s="25">
        <v>43160</v>
      </c>
      <c r="B65">
        <v>1001</v>
      </c>
      <c r="C65" t="s">
        <v>145</v>
      </c>
      <c r="D65" s="18">
        <v>2370.2249999999999</v>
      </c>
    </row>
    <row r="66" spans="1:4" x14ac:dyDescent="0.45">
      <c r="A66" s="25">
        <v>43160</v>
      </c>
      <c r="B66">
        <v>1001</v>
      </c>
      <c r="C66" t="s">
        <v>97</v>
      </c>
      <c r="D66" s="18">
        <v>30303.35</v>
      </c>
    </row>
    <row r="67" spans="1:4" x14ac:dyDescent="0.45">
      <c r="A67" s="25">
        <v>43160</v>
      </c>
      <c r="B67">
        <v>1001</v>
      </c>
      <c r="C67" t="s">
        <v>97</v>
      </c>
      <c r="D67" s="18">
        <v>45707.474999999999</v>
      </c>
    </row>
    <row r="68" spans="1:4" x14ac:dyDescent="0.45">
      <c r="A68" s="25">
        <v>43160</v>
      </c>
      <c r="B68">
        <v>1002</v>
      </c>
      <c r="C68" t="s">
        <v>104</v>
      </c>
      <c r="D68" s="18">
        <v>32439.825000000001</v>
      </c>
    </row>
    <row r="69" spans="1:4" x14ac:dyDescent="0.45">
      <c r="A69" s="25">
        <v>43160</v>
      </c>
      <c r="B69">
        <v>1001</v>
      </c>
      <c r="C69" t="s">
        <v>145</v>
      </c>
      <c r="D69" s="18">
        <v>45936.55</v>
      </c>
    </row>
    <row r="70" spans="1:4" x14ac:dyDescent="0.45">
      <c r="A70" s="25">
        <v>43160</v>
      </c>
      <c r="B70">
        <v>1001</v>
      </c>
      <c r="C70" t="s">
        <v>145</v>
      </c>
      <c r="D70" s="18">
        <v>39536.474999999999</v>
      </c>
    </row>
    <row r="71" spans="1:4" x14ac:dyDescent="0.45">
      <c r="A71" s="25">
        <v>43160</v>
      </c>
      <c r="B71">
        <v>1002</v>
      </c>
      <c r="C71" t="s">
        <v>104</v>
      </c>
      <c r="D71" s="18">
        <v>18704.674999999999</v>
      </c>
    </row>
    <row r="72" spans="1:4" x14ac:dyDescent="0.45">
      <c r="A72" s="25">
        <v>43160</v>
      </c>
      <c r="B72">
        <v>1001</v>
      </c>
      <c r="C72" t="s">
        <v>97</v>
      </c>
      <c r="D72" s="18">
        <v>43734.625</v>
      </c>
    </row>
    <row r="73" spans="1:4" x14ac:dyDescent="0.45">
      <c r="A73" s="25">
        <v>43160</v>
      </c>
      <c r="B73">
        <v>1002</v>
      </c>
      <c r="C73" t="s">
        <v>104</v>
      </c>
      <c r="D73" s="18">
        <v>31682.474999999999</v>
      </c>
    </row>
    <row r="74" spans="1:4" x14ac:dyDescent="0.45">
      <c r="A74" s="25">
        <v>43160</v>
      </c>
      <c r="B74">
        <v>1002</v>
      </c>
      <c r="C74" t="s">
        <v>104</v>
      </c>
      <c r="D74" s="18">
        <v>8620.7000000000007</v>
      </c>
    </row>
    <row r="75" spans="1:4" x14ac:dyDescent="0.45">
      <c r="A75" s="25">
        <v>43160</v>
      </c>
      <c r="B75">
        <v>1001</v>
      </c>
      <c r="C75" t="s">
        <v>97</v>
      </c>
      <c r="D75" s="18">
        <v>5614.6750000000002</v>
      </c>
    </row>
    <row r="76" spans="1:4" x14ac:dyDescent="0.45">
      <c r="A76" s="25">
        <v>43160</v>
      </c>
      <c r="B76">
        <v>1001</v>
      </c>
      <c r="C76" t="s">
        <v>145</v>
      </c>
      <c r="D76" s="18">
        <v>43846.824999999997</v>
      </c>
    </row>
    <row r="77" spans="1:4" x14ac:dyDescent="0.45">
      <c r="A77" s="25">
        <v>43160</v>
      </c>
      <c r="B77">
        <v>1001</v>
      </c>
      <c r="C77" t="s">
        <v>97</v>
      </c>
      <c r="D77" s="18">
        <v>158.94999999999999</v>
      </c>
    </row>
    <row r="78" spans="1:4" x14ac:dyDescent="0.45">
      <c r="A78" s="25">
        <v>43160</v>
      </c>
      <c r="B78">
        <v>1002</v>
      </c>
      <c r="C78" t="s">
        <v>104</v>
      </c>
      <c r="D78" s="18">
        <v>40527.574999999997</v>
      </c>
    </row>
    <row r="79" spans="1:4" x14ac:dyDescent="0.45">
      <c r="A79" s="25">
        <v>43160</v>
      </c>
      <c r="B79">
        <v>1002</v>
      </c>
      <c r="C79" t="s">
        <v>104</v>
      </c>
      <c r="D79" s="18">
        <v>1640.925</v>
      </c>
    </row>
    <row r="80" spans="1:4" x14ac:dyDescent="0.45">
      <c r="A80" s="25">
        <v>43160</v>
      </c>
      <c r="B80">
        <v>1001</v>
      </c>
      <c r="C80" t="s">
        <v>97</v>
      </c>
      <c r="D80" s="18">
        <v>16984.275000000001</v>
      </c>
    </row>
    <row r="81" spans="1:4" x14ac:dyDescent="0.45">
      <c r="A81" s="25">
        <v>43160</v>
      </c>
      <c r="B81">
        <v>1002</v>
      </c>
      <c r="C81" t="s">
        <v>104</v>
      </c>
      <c r="D81" s="18">
        <v>45445.675000000003</v>
      </c>
    </row>
    <row r="82" spans="1:4" x14ac:dyDescent="0.45">
      <c r="A82" s="25">
        <v>43160</v>
      </c>
      <c r="B82">
        <v>1001</v>
      </c>
      <c r="C82" t="s">
        <v>145</v>
      </c>
      <c r="D82" s="18">
        <v>28531.525000000001</v>
      </c>
    </row>
    <row r="83" spans="1:4" x14ac:dyDescent="0.45">
      <c r="A83" s="25">
        <v>43160</v>
      </c>
      <c r="B83">
        <v>1001</v>
      </c>
      <c r="C83" t="s">
        <v>97</v>
      </c>
      <c r="D83" s="18">
        <v>15684.625</v>
      </c>
    </row>
    <row r="84" spans="1:4" x14ac:dyDescent="0.45">
      <c r="A84" s="25">
        <v>43160</v>
      </c>
      <c r="B84">
        <v>1002</v>
      </c>
      <c r="C84" t="s">
        <v>104</v>
      </c>
      <c r="D84" s="18">
        <v>9181.7000000000007</v>
      </c>
    </row>
    <row r="85" spans="1:4" x14ac:dyDescent="0.45">
      <c r="A85" s="25">
        <v>43160</v>
      </c>
      <c r="B85">
        <v>1001</v>
      </c>
      <c r="C85" t="s">
        <v>145</v>
      </c>
      <c r="D85" s="18">
        <v>35983.474999999999</v>
      </c>
    </row>
    <row r="86" spans="1:4" x14ac:dyDescent="0.45">
      <c r="A86" s="25">
        <v>43160</v>
      </c>
      <c r="B86">
        <v>1001</v>
      </c>
      <c r="C86" t="s">
        <v>145</v>
      </c>
      <c r="D86" s="18">
        <v>23763.025000000001</v>
      </c>
    </row>
    <row r="87" spans="1:4" x14ac:dyDescent="0.45">
      <c r="A87" s="25">
        <v>43160</v>
      </c>
      <c r="B87">
        <v>1001</v>
      </c>
      <c r="C87" t="s">
        <v>145</v>
      </c>
      <c r="D87" s="18">
        <v>18601.825000000001</v>
      </c>
    </row>
    <row r="88" spans="1:4" x14ac:dyDescent="0.45">
      <c r="A88" s="25">
        <v>43160</v>
      </c>
      <c r="B88">
        <v>1001</v>
      </c>
      <c r="C88" t="s">
        <v>145</v>
      </c>
      <c r="D88" s="18">
        <v>17592.025000000001</v>
      </c>
    </row>
    <row r="89" spans="1:4" x14ac:dyDescent="0.45">
      <c r="A89" s="25">
        <v>43160</v>
      </c>
      <c r="B89">
        <v>1001</v>
      </c>
      <c r="C89" t="s">
        <v>145</v>
      </c>
      <c r="D89" s="18">
        <v>15792.15</v>
      </c>
    </row>
    <row r="90" spans="1:4" x14ac:dyDescent="0.45">
      <c r="A90" s="25">
        <v>43160</v>
      </c>
      <c r="B90">
        <v>1001</v>
      </c>
      <c r="C90" t="s">
        <v>145</v>
      </c>
      <c r="D90" s="18">
        <v>4296.3249999999998</v>
      </c>
    </row>
    <row r="91" spans="1:4" x14ac:dyDescent="0.45">
      <c r="A91" s="25">
        <v>43160</v>
      </c>
      <c r="B91">
        <v>1001</v>
      </c>
      <c r="C91" t="s">
        <v>97</v>
      </c>
      <c r="D91" s="18">
        <v>822.8</v>
      </c>
    </row>
    <row r="92" spans="1:4" x14ac:dyDescent="0.45">
      <c r="A92" s="25">
        <v>43160</v>
      </c>
      <c r="B92">
        <v>1001</v>
      </c>
      <c r="C92" t="s">
        <v>97</v>
      </c>
      <c r="D92" s="18">
        <v>20728.95</v>
      </c>
    </row>
    <row r="93" spans="1:4" x14ac:dyDescent="0.45">
      <c r="A93" s="25">
        <v>43160</v>
      </c>
      <c r="B93">
        <v>1001</v>
      </c>
      <c r="C93" t="s">
        <v>97</v>
      </c>
      <c r="D93" s="18">
        <v>44936.1</v>
      </c>
    </row>
    <row r="94" spans="1:4" x14ac:dyDescent="0.45">
      <c r="A94" s="25">
        <v>43160</v>
      </c>
      <c r="B94">
        <v>1001</v>
      </c>
      <c r="C94" t="s">
        <v>97</v>
      </c>
      <c r="D94" s="18">
        <v>31289.775000000001</v>
      </c>
    </row>
    <row r="95" spans="1:4" x14ac:dyDescent="0.45">
      <c r="A95" s="25">
        <v>43160</v>
      </c>
      <c r="B95">
        <v>1002</v>
      </c>
      <c r="C95" t="s">
        <v>104</v>
      </c>
      <c r="D95" s="18">
        <v>38970.800000000003</v>
      </c>
    </row>
    <row r="96" spans="1:4" x14ac:dyDescent="0.45">
      <c r="A96" s="25">
        <v>43160</v>
      </c>
      <c r="B96">
        <v>1002</v>
      </c>
      <c r="C96" t="s">
        <v>104</v>
      </c>
      <c r="D96" s="18">
        <v>7045.2250000000004</v>
      </c>
    </row>
    <row r="97" spans="1:4" x14ac:dyDescent="0.45">
      <c r="A97" s="25">
        <v>43191</v>
      </c>
      <c r="B97">
        <v>1001</v>
      </c>
      <c r="C97" t="s">
        <v>145</v>
      </c>
      <c r="D97" s="18">
        <v>247.77500000000001</v>
      </c>
    </row>
    <row r="98" spans="1:4" x14ac:dyDescent="0.45">
      <c r="A98" s="25">
        <v>43191</v>
      </c>
      <c r="B98">
        <v>1001</v>
      </c>
      <c r="C98" t="s">
        <v>145</v>
      </c>
      <c r="D98" s="18">
        <v>2276.7249999999999</v>
      </c>
    </row>
    <row r="99" spans="1:4" x14ac:dyDescent="0.45">
      <c r="A99" s="25">
        <v>43191</v>
      </c>
      <c r="B99">
        <v>1001</v>
      </c>
      <c r="C99" t="s">
        <v>97</v>
      </c>
      <c r="D99" s="18">
        <v>4361.7749999999996</v>
      </c>
    </row>
    <row r="100" spans="1:4" x14ac:dyDescent="0.45">
      <c r="A100" s="25">
        <v>43191</v>
      </c>
      <c r="B100">
        <v>1001</v>
      </c>
      <c r="C100" t="s">
        <v>145</v>
      </c>
      <c r="D100" s="18">
        <v>6933.0249999999996</v>
      </c>
    </row>
    <row r="101" spans="1:4" x14ac:dyDescent="0.45">
      <c r="A101" s="25">
        <v>43191</v>
      </c>
      <c r="B101">
        <v>1001</v>
      </c>
      <c r="C101" t="s">
        <v>145</v>
      </c>
      <c r="D101" s="18">
        <v>15062.85</v>
      </c>
    </row>
    <row r="102" spans="1:4" x14ac:dyDescent="0.45">
      <c r="A102" s="25">
        <v>43191</v>
      </c>
      <c r="B102">
        <v>1001</v>
      </c>
      <c r="C102" t="s">
        <v>145</v>
      </c>
      <c r="D102" s="18">
        <v>21696.674999999999</v>
      </c>
    </row>
    <row r="103" spans="1:4" x14ac:dyDescent="0.45">
      <c r="A103" s="25">
        <v>43191</v>
      </c>
      <c r="B103">
        <v>1001</v>
      </c>
      <c r="C103" t="s">
        <v>145</v>
      </c>
      <c r="D103" s="18">
        <v>28452.05</v>
      </c>
    </row>
    <row r="104" spans="1:4" x14ac:dyDescent="0.45">
      <c r="A104" s="25">
        <v>43191</v>
      </c>
      <c r="B104">
        <v>1001</v>
      </c>
      <c r="C104" t="s">
        <v>145</v>
      </c>
      <c r="D104" s="18">
        <v>18003.424999999999</v>
      </c>
    </row>
    <row r="105" spans="1:4" x14ac:dyDescent="0.45">
      <c r="A105" s="25">
        <v>43191</v>
      </c>
      <c r="B105">
        <v>1001</v>
      </c>
      <c r="C105" t="s">
        <v>145</v>
      </c>
      <c r="D105" s="18">
        <v>12533.674999999999</v>
      </c>
    </row>
    <row r="106" spans="1:4" x14ac:dyDescent="0.45">
      <c r="A106" s="25">
        <v>43191</v>
      </c>
      <c r="B106">
        <v>1001</v>
      </c>
      <c r="C106" t="s">
        <v>97</v>
      </c>
      <c r="D106" s="18">
        <v>3183.6750000000002</v>
      </c>
    </row>
    <row r="107" spans="1:4" x14ac:dyDescent="0.45">
      <c r="A107" s="25">
        <v>43191</v>
      </c>
      <c r="B107">
        <v>1001</v>
      </c>
      <c r="C107" t="s">
        <v>97</v>
      </c>
      <c r="D107" s="18">
        <v>27881.7</v>
      </c>
    </row>
    <row r="108" spans="1:4" x14ac:dyDescent="0.45">
      <c r="A108" s="25">
        <v>43191</v>
      </c>
      <c r="B108">
        <v>1001</v>
      </c>
      <c r="C108" t="s">
        <v>97</v>
      </c>
      <c r="D108" s="18">
        <v>36380.85</v>
      </c>
    </row>
    <row r="109" spans="1:4" x14ac:dyDescent="0.45">
      <c r="A109" s="25">
        <v>43191</v>
      </c>
      <c r="B109">
        <v>1001</v>
      </c>
      <c r="C109" t="s">
        <v>97</v>
      </c>
      <c r="D109" s="18">
        <v>355.3</v>
      </c>
    </row>
    <row r="110" spans="1:4" x14ac:dyDescent="0.45">
      <c r="A110" s="25">
        <v>43191</v>
      </c>
      <c r="B110">
        <v>1001</v>
      </c>
      <c r="C110" t="s">
        <v>97</v>
      </c>
      <c r="D110" s="18">
        <v>42238.625</v>
      </c>
    </row>
    <row r="111" spans="1:4" x14ac:dyDescent="0.45">
      <c r="A111" s="25">
        <v>43191</v>
      </c>
      <c r="B111">
        <v>1001</v>
      </c>
      <c r="C111" t="s">
        <v>97</v>
      </c>
      <c r="D111" s="18">
        <v>18433.525000000001</v>
      </c>
    </row>
    <row r="112" spans="1:4" x14ac:dyDescent="0.45">
      <c r="A112" s="25">
        <v>43191</v>
      </c>
      <c r="B112">
        <v>1001</v>
      </c>
      <c r="C112" t="s">
        <v>97</v>
      </c>
      <c r="D112" s="18">
        <v>27353.424999999999</v>
      </c>
    </row>
    <row r="113" spans="1:4" x14ac:dyDescent="0.45">
      <c r="A113" s="25">
        <v>43191</v>
      </c>
      <c r="B113">
        <v>1001</v>
      </c>
      <c r="C113" t="s">
        <v>97</v>
      </c>
      <c r="D113" s="18">
        <v>13646.325000000001</v>
      </c>
    </row>
    <row r="114" spans="1:4" x14ac:dyDescent="0.45">
      <c r="A114" s="25">
        <v>43191</v>
      </c>
      <c r="B114">
        <v>1001</v>
      </c>
      <c r="C114" t="s">
        <v>97</v>
      </c>
      <c r="D114" s="18">
        <v>30789.55</v>
      </c>
    </row>
    <row r="115" spans="1:4" x14ac:dyDescent="0.45">
      <c r="A115" s="25">
        <v>43191</v>
      </c>
      <c r="B115">
        <v>1001</v>
      </c>
      <c r="C115" t="s">
        <v>97</v>
      </c>
      <c r="D115" s="18">
        <v>37175.599999999999</v>
      </c>
    </row>
    <row r="116" spans="1:4" x14ac:dyDescent="0.45">
      <c r="A116" s="25">
        <v>43191</v>
      </c>
      <c r="B116">
        <v>1001</v>
      </c>
      <c r="C116" t="s">
        <v>97</v>
      </c>
      <c r="D116" s="18">
        <v>28844.75</v>
      </c>
    </row>
    <row r="117" spans="1:4" x14ac:dyDescent="0.45">
      <c r="A117" s="25">
        <v>43191</v>
      </c>
      <c r="B117">
        <v>1002</v>
      </c>
      <c r="C117" t="s">
        <v>104</v>
      </c>
      <c r="D117" s="18">
        <v>3286.5250000000001</v>
      </c>
    </row>
    <row r="118" spans="1:4" x14ac:dyDescent="0.45">
      <c r="A118" s="25">
        <v>43191</v>
      </c>
      <c r="B118">
        <v>1002</v>
      </c>
      <c r="C118" t="s">
        <v>104</v>
      </c>
      <c r="D118" s="18">
        <v>5525.85</v>
      </c>
    </row>
    <row r="119" spans="1:4" x14ac:dyDescent="0.45">
      <c r="A119" s="25">
        <v>43191</v>
      </c>
      <c r="B119">
        <v>1002</v>
      </c>
      <c r="C119" t="s">
        <v>104</v>
      </c>
      <c r="D119" s="18">
        <v>24174.424999999999</v>
      </c>
    </row>
    <row r="120" spans="1:4" x14ac:dyDescent="0.45">
      <c r="A120" s="25">
        <v>43191</v>
      </c>
      <c r="B120">
        <v>1002</v>
      </c>
      <c r="C120" t="s">
        <v>104</v>
      </c>
      <c r="D120" s="18">
        <v>2613.3249999999998</v>
      </c>
    </row>
    <row r="121" spans="1:4" x14ac:dyDescent="0.45">
      <c r="A121" s="25">
        <v>43191</v>
      </c>
      <c r="B121">
        <v>1002</v>
      </c>
      <c r="C121" t="s">
        <v>104</v>
      </c>
      <c r="D121" s="18">
        <v>1285.625</v>
      </c>
    </row>
    <row r="122" spans="1:4" x14ac:dyDescent="0.45">
      <c r="A122" s="25">
        <v>43191</v>
      </c>
      <c r="B122">
        <v>1002</v>
      </c>
      <c r="C122" t="s">
        <v>104</v>
      </c>
      <c r="D122" s="18">
        <v>10270.975</v>
      </c>
    </row>
    <row r="123" spans="1:4" x14ac:dyDescent="0.45">
      <c r="A123" s="25">
        <v>43191</v>
      </c>
      <c r="B123">
        <v>1002</v>
      </c>
      <c r="C123" t="s">
        <v>104</v>
      </c>
      <c r="D123" s="18">
        <v>33505.724999999999</v>
      </c>
    </row>
    <row r="124" spans="1:4" x14ac:dyDescent="0.45">
      <c r="A124" s="25">
        <v>43191</v>
      </c>
      <c r="B124">
        <v>1002</v>
      </c>
      <c r="C124" t="s">
        <v>104</v>
      </c>
      <c r="D124" s="18">
        <v>32720.325000000001</v>
      </c>
    </row>
    <row r="125" spans="1:4" x14ac:dyDescent="0.45">
      <c r="A125" s="25">
        <v>43191</v>
      </c>
      <c r="B125">
        <v>1002</v>
      </c>
      <c r="C125" t="s">
        <v>104</v>
      </c>
      <c r="D125" s="18">
        <v>35244.824999999997</v>
      </c>
    </row>
    <row r="126" spans="1:4" x14ac:dyDescent="0.45">
      <c r="A126" s="25">
        <v>43191</v>
      </c>
      <c r="B126">
        <v>1002</v>
      </c>
      <c r="C126" t="s">
        <v>104</v>
      </c>
      <c r="D126" s="18">
        <v>43243.75</v>
      </c>
    </row>
    <row r="127" spans="1:4" x14ac:dyDescent="0.45">
      <c r="A127" s="25">
        <v>43191</v>
      </c>
      <c r="B127">
        <v>1001</v>
      </c>
      <c r="C127" t="s">
        <v>145</v>
      </c>
      <c r="D127" s="18">
        <v>25188.9</v>
      </c>
    </row>
    <row r="128" spans="1:4" x14ac:dyDescent="0.45">
      <c r="A128" s="25">
        <v>43191</v>
      </c>
      <c r="B128">
        <v>1001</v>
      </c>
      <c r="C128" t="s">
        <v>145</v>
      </c>
      <c r="D128" s="18">
        <v>14534.575000000001</v>
      </c>
    </row>
    <row r="129" spans="1:4" x14ac:dyDescent="0.45">
      <c r="A129" s="25">
        <v>43191</v>
      </c>
      <c r="B129">
        <v>1001</v>
      </c>
      <c r="C129" t="s">
        <v>97</v>
      </c>
      <c r="D129" s="18">
        <v>38634.199999999997</v>
      </c>
    </row>
    <row r="130" spans="1:4" x14ac:dyDescent="0.45">
      <c r="A130" s="25">
        <v>43191</v>
      </c>
      <c r="B130">
        <v>1002</v>
      </c>
      <c r="C130" t="s">
        <v>104</v>
      </c>
      <c r="D130" s="18">
        <v>24038.85</v>
      </c>
    </row>
    <row r="131" spans="1:4" x14ac:dyDescent="0.45">
      <c r="A131" s="25">
        <v>43191</v>
      </c>
      <c r="B131">
        <v>1002</v>
      </c>
      <c r="C131" t="s">
        <v>104</v>
      </c>
      <c r="D131" s="18">
        <v>20023.025000000001</v>
      </c>
    </row>
    <row r="132" spans="1:4" x14ac:dyDescent="0.45">
      <c r="A132" s="25">
        <v>43191</v>
      </c>
      <c r="B132">
        <v>1002</v>
      </c>
      <c r="C132" t="s">
        <v>104</v>
      </c>
      <c r="D132" s="18">
        <v>41864.625</v>
      </c>
    </row>
    <row r="133" spans="1:4" x14ac:dyDescent="0.45">
      <c r="A133" s="25">
        <v>43191</v>
      </c>
      <c r="B133">
        <v>1001</v>
      </c>
      <c r="C133" t="s">
        <v>97</v>
      </c>
      <c r="D133" s="18">
        <v>8503.8250000000007</v>
      </c>
    </row>
    <row r="134" spans="1:4" x14ac:dyDescent="0.45">
      <c r="A134" s="25">
        <v>43191</v>
      </c>
      <c r="B134">
        <v>1002</v>
      </c>
      <c r="C134" t="s">
        <v>104</v>
      </c>
      <c r="D134" s="18">
        <v>36170.474999999999</v>
      </c>
    </row>
    <row r="135" spans="1:4" x14ac:dyDescent="0.45">
      <c r="A135" s="25">
        <v>43191</v>
      </c>
      <c r="B135">
        <v>1002</v>
      </c>
      <c r="C135" t="s">
        <v>104</v>
      </c>
      <c r="D135" s="18">
        <v>4179.45</v>
      </c>
    </row>
    <row r="136" spans="1:4" x14ac:dyDescent="0.45">
      <c r="A136" s="25">
        <v>43191</v>
      </c>
      <c r="B136">
        <v>1001</v>
      </c>
      <c r="C136" t="s">
        <v>97</v>
      </c>
      <c r="D136" s="18">
        <v>39428.949999999997</v>
      </c>
    </row>
    <row r="137" spans="1:4" x14ac:dyDescent="0.45">
      <c r="A137" s="25">
        <v>43191</v>
      </c>
      <c r="B137">
        <v>1001</v>
      </c>
      <c r="C137" t="s">
        <v>97</v>
      </c>
      <c r="D137" s="18">
        <v>38133.974999999999</v>
      </c>
    </row>
    <row r="138" spans="1:4" x14ac:dyDescent="0.45">
      <c r="A138" s="25">
        <v>43191</v>
      </c>
      <c r="B138">
        <v>1001</v>
      </c>
      <c r="C138" t="s">
        <v>97</v>
      </c>
      <c r="D138" s="18">
        <v>1210.825</v>
      </c>
    </row>
    <row r="139" spans="1:4" x14ac:dyDescent="0.45">
      <c r="A139" s="25">
        <v>43191</v>
      </c>
      <c r="B139">
        <v>1001</v>
      </c>
      <c r="C139" t="s">
        <v>97</v>
      </c>
      <c r="D139" s="18">
        <v>2748.9</v>
      </c>
    </row>
    <row r="140" spans="1:4" x14ac:dyDescent="0.45">
      <c r="A140" s="25">
        <v>43191</v>
      </c>
      <c r="B140">
        <v>1001</v>
      </c>
      <c r="C140" t="s">
        <v>97</v>
      </c>
      <c r="D140" s="18">
        <v>3529.625</v>
      </c>
    </row>
    <row r="141" spans="1:4" x14ac:dyDescent="0.45">
      <c r="A141" s="25">
        <v>43191</v>
      </c>
      <c r="B141">
        <v>1002</v>
      </c>
      <c r="C141" t="s">
        <v>104</v>
      </c>
      <c r="D141" s="18">
        <v>31836.75</v>
      </c>
    </row>
    <row r="142" spans="1:4" x14ac:dyDescent="0.45">
      <c r="A142" s="25">
        <v>43191</v>
      </c>
      <c r="B142">
        <v>1002</v>
      </c>
      <c r="C142" t="s">
        <v>104</v>
      </c>
      <c r="D142" s="18">
        <v>4048.55</v>
      </c>
    </row>
    <row r="143" spans="1:4" x14ac:dyDescent="0.45">
      <c r="A143" s="25">
        <v>43191</v>
      </c>
      <c r="B143">
        <v>1002</v>
      </c>
      <c r="C143" t="s">
        <v>104</v>
      </c>
      <c r="D143" s="18">
        <v>11617.375</v>
      </c>
    </row>
    <row r="144" spans="1:4" x14ac:dyDescent="0.45">
      <c r="A144" s="25">
        <v>43191</v>
      </c>
      <c r="B144">
        <v>1002</v>
      </c>
      <c r="C144" t="s">
        <v>104</v>
      </c>
      <c r="D144" s="18">
        <v>33141.074999999997</v>
      </c>
    </row>
    <row r="145" spans="1:4" x14ac:dyDescent="0.45">
      <c r="A145" s="25">
        <v>43191</v>
      </c>
      <c r="B145">
        <v>1001</v>
      </c>
      <c r="C145" t="s">
        <v>145</v>
      </c>
      <c r="D145" s="18">
        <v>4034.5250000000001</v>
      </c>
    </row>
    <row r="146" spans="1:4" x14ac:dyDescent="0.45">
      <c r="A146" s="25">
        <v>43191</v>
      </c>
      <c r="B146">
        <v>1001</v>
      </c>
      <c r="C146" t="s">
        <v>145</v>
      </c>
      <c r="D146" s="18">
        <v>26741</v>
      </c>
    </row>
    <row r="147" spans="1:4" x14ac:dyDescent="0.45">
      <c r="A147" s="25">
        <v>43191</v>
      </c>
      <c r="B147">
        <v>1001</v>
      </c>
      <c r="C147" t="s">
        <v>97</v>
      </c>
      <c r="D147" s="18">
        <v>29293.55</v>
      </c>
    </row>
    <row r="148" spans="1:4" x14ac:dyDescent="0.45">
      <c r="A148" s="25">
        <v>43191</v>
      </c>
      <c r="B148">
        <v>1001</v>
      </c>
      <c r="C148" t="s">
        <v>97</v>
      </c>
      <c r="D148" s="18">
        <v>25389.924999999999</v>
      </c>
    </row>
    <row r="149" spans="1:4" x14ac:dyDescent="0.45">
      <c r="A149" s="25">
        <v>43191</v>
      </c>
      <c r="B149">
        <v>1001</v>
      </c>
      <c r="C149" t="s">
        <v>97</v>
      </c>
      <c r="D149" s="18">
        <v>45871.1</v>
      </c>
    </row>
    <row r="150" spans="1:4" x14ac:dyDescent="0.45">
      <c r="A150" s="25">
        <v>43191</v>
      </c>
      <c r="B150">
        <v>1002</v>
      </c>
      <c r="C150" t="s">
        <v>104</v>
      </c>
      <c r="D150" s="18">
        <v>23725.625</v>
      </c>
    </row>
    <row r="151" spans="1:4" x14ac:dyDescent="0.45">
      <c r="A151" s="25">
        <v>43191</v>
      </c>
      <c r="B151">
        <v>1002</v>
      </c>
      <c r="C151" t="s">
        <v>104</v>
      </c>
      <c r="D151" s="18">
        <v>16488.724999999999</v>
      </c>
    </row>
    <row r="152" spans="1:4" x14ac:dyDescent="0.45">
      <c r="A152" s="25">
        <v>43191</v>
      </c>
      <c r="B152">
        <v>1001</v>
      </c>
      <c r="C152" t="s">
        <v>145</v>
      </c>
      <c r="D152" s="18">
        <v>10897.424999999999</v>
      </c>
    </row>
    <row r="153" spans="1:4" x14ac:dyDescent="0.45">
      <c r="A153" s="25">
        <v>43191</v>
      </c>
      <c r="B153">
        <v>1001</v>
      </c>
      <c r="C153" t="s">
        <v>145</v>
      </c>
      <c r="D153" s="18">
        <v>2725.5250000000001</v>
      </c>
    </row>
    <row r="154" spans="1:4" x14ac:dyDescent="0.45">
      <c r="A154" s="25">
        <v>43191</v>
      </c>
      <c r="B154">
        <v>1002</v>
      </c>
      <c r="C154" t="s">
        <v>104</v>
      </c>
      <c r="D154" s="18">
        <v>44253.55</v>
      </c>
    </row>
    <row r="155" spans="1:4" x14ac:dyDescent="0.45">
      <c r="A155" s="25">
        <v>43191</v>
      </c>
      <c r="B155">
        <v>1002</v>
      </c>
      <c r="C155" t="s">
        <v>104</v>
      </c>
      <c r="D155" s="18">
        <v>23403.05</v>
      </c>
    </row>
    <row r="156" spans="1:4" x14ac:dyDescent="0.45">
      <c r="A156" s="25">
        <v>43191</v>
      </c>
      <c r="B156">
        <v>1002</v>
      </c>
      <c r="C156" t="s">
        <v>104</v>
      </c>
      <c r="D156" s="18">
        <v>44964.15</v>
      </c>
    </row>
    <row r="157" spans="1:4" x14ac:dyDescent="0.45">
      <c r="A157" s="25">
        <v>43191</v>
      </c>
      <c r="B157">
        <v>1002</v>
      </c>
      <c r="C157" t="s">
        <v>104</v>
      </c>
      <c r="D157" s="18">
        <v>43398.025000000001</v>
      </c>
    </row>
    <row r="158" spans="1:4" x14ac:dyDescent="0.45">
      <c r="A158" s="25">
        <v>43191</v>
      </c>
      <c r="B158">
        <v>1001</v>
      </c>
      <c r="C158" t="s">
        <v>145</v>
      </c>
      <c r="D158" s="18">
        <v>21930.424999999999</v>
      </c>
    </row>
    <row r="159" spans="1:4" x14ac:dyDescent="0.45">
      <c r="A159" s="25">
        <v>43191</v>
      </c>
      <c r="B159">
        <v>1001</v>
      </c>
      <c r="C159" t="s">
        <v>97</v>
      </c>
      <c r="D159" s="18">
        <v>26465.174999999999</v>
      </c>
    </row>
    <row r="160" spans="1:4" x14ac:dyDescent="0.45">
      <c r="A160" s="25">
        <v>43191</v>
      </c>
      <c r="B160">
        <v>1002</v>
      </c>
      <c r="C160" t="s">
        <v>104</v>
      </c>
      <c r="D160" s="18">
        <v>15736.05</v>
      </c>
    </row>
    <row r="161" spans="1:4" x14ac:dyDescent="0.45">
      <c r="A161" s="25">
        <v>43221</v>
      </c>
      <c r="B161">
        <v>1001</v>
      </c>
      <c r="C161" t="s">
        <v>145</v>
      </c>
      <c r="D161" s="18">
        <v>43846.824999999997</v>
      </c>
    </row>
    <row r="162" spans="1:4" x14ac:dyDescent="0.45">
      <c r="A162" s="25">
        <v>43221</v>
      </c>
      <c r="B162">
        <v>1001</v>
      </c>
      <c r="C162" t="s">
        <v>97</v>
      </c>
      <c r="D162" s="18">
        <v>9345.3250000000007</v>
      </c>
    </row>
    <row r="163" spans="1:4" x14ac:dyDescent="0.45">
      <c r="A163" s="25">
        <v>43221</v>
      </c>
      <c r="B163">
        <v>1001</v>
      </c>
      <c r="C163" t="s">
        <v>97</v>
      </c>
      <c r="D163" s="18">
        <v>16039.924999999999</v>
      </c>
    </row>
    <row r="164" spans="1:4" x14ac:dyDescent="0.45">
      <c r="A164" s="25">
        <v>43221</v>
      </c>
      <c r="B164">
        <v>1001</v>
      </c>
      <c r="C164" t="s">
        <v>97</v>
      </c>
      <c r="D164" s="18">
        <v>34351.9</v>
      </c>
    </row>
    <row r="165" spans="1:4" x14ac:dyDescent="0.45">
      <c r="A165" s="25">
        <v>43221</v>
      </c>
      <c r="B165">
        <v>1002</v>
      </c>
      <c r="C165" t="s">
        <v>104</v>
      </c>
      <c r="D165" s="18">
        <v>15927.725</v>
      </c>
    </row>
    <row r="166" spans="1:4" x14ac:dyDescent="0.45">
      <c r="A166" s="25">
        <v>43221</v>
      </c>
      <c r="B166">
        <v>1002</v>
      </c>
      <c r="C166" t="s">
        <v>104</v>
      </c>
      <c r="D166" s="18">
        <v>12664.575000000001</v>
      </c>
    </row>
    <row r="167" spans="1:4" x14ac:dyDescent="0.45">
      <c r="A167" s="25">
        <v>43221</v>
      </c>
      <c r="B167">
        <v>1002</v>
      </c>
      <c r="C167" t="s">
        <v>104</v>
      </c>
      <c r="D167" s="18">
        <v>23314.224999999999</v>
      </c>
    </row>
    <row r="168" spans="1:4" x14ac:dyDescent="0.45">
      <c r="A168" s="25">
        <v>43221</v>
      </c>
      <c r="B168">
        <v>1001</v>
      </c>
      <c r="C168" t="s">
        <v>145</v>
      </c>
      <c r="D168" s="18">
        <v>43846.824999999997</v>
      </c>
    </row>
    <row r="169" spans="1:4" x14ac:dyDescent="0.45">
      <c r="A169" s="25">
        <v>43221</v>
      </c>
      <c r="B169">
        <v>1001</v>
      </c>
      <c r="C169" t="s">
        <v>97</v>
      </c>
      <c r="D169" s="18">
        <v>20841.150000000001</v>
      </c>
    </row>
    <row r="170" spans="1:4" x14ac:dyDescent="0.45">
      <c r="A170" s="25">
        <v>43221</v>
      </c>
      <c r="B170">
        <v>1001</v>
      </c>
      <c r="C170" t="s">
        <v>97</v>
      </c>
      <c r="D170" s="18">
        <v>3987.7750000000001</v>
      </c>
    </row>
    <row r="171" spans="1:4" x14ac:dyDescent="0.45">
      <c r="A171" s="25">
        <v>43221</v>
      </c>
      <c r="B171">
        <v>1001</v>
      </c>
      <c r="C171" t="s">
        <v>97</v>
      </c>
      <c r="D171" s="18">
        <v>19887.45</v>
      </c>
    </row>
    <row r="172" spans="1:4" x14ac:dyDescent="0.45">
      <c r="A172" s="25">
        <v>43221</v>
      </c>
      <c r="B172">
        <v>1002</v>
      </c>
      <c r="C172" t="s">
        <v>104</v>
      </c>
      <c r="D172" s="18">
        <v>4913.4250000000002</v>
      </c>
    </row>
    <row r="173" spans="1:4" x14ac:dyDescent="0.45">
      <c r="A173" s="25">
        <v>43221</v>
      </c>
      <c r="B173">
        <v>1002</v>
      </c>
      <c r="C173" t="s">
        <v>104</v>
      </c>
      <c r="D173" s="18">
        <v>7751.15</v>
      </c>
    </row>
    <row r="174" spans="1:4" x14ac:dyDescent="0.45">
      <c r="A174" s="25">
        <v>43221</v>
      </c>
      <c r="B174">
        <v>1002</v>
      </c>
      <c r="C174" t="s">
        <v>104</v>
      </c>
      <c r="D174" s="18">
        <v>37418.699999999997</v>
      </c>
    </row>
    <row r="175" spans="1:4" x14ac:dyDescent="0.45">
      <c r="A175" s="25">
        <v>43221</v>
      </c>
      <c r="B175">
        <v>1001</v>
      </c>
      <c r="C175" t="s">
        <v>97</v>
      </c>
      <c r="D175" s="18">
        <v>18073.55</v>
      </c>
    </row>
    <row r="176" spans="1:4" x14ac:dyDescent="0.45">
      <c r="A176" s="25">
        <v>43221</v>
      </c>
      <c r="B176">
        <v>1001</v>
      </c>
      <c r="C176" t="s">
        <v>145</v>
      </c>
      <c r="D176" s="18">
        <v>43846.824999999997</v>
      </c>
    </row>
    <row r="177" spans="1:4" x14ac:dyDescent="0.45">
      <c r="A177" s="25">
        <v>43221</v>
      </c>
      <c r="B177">
        <v>1001</v>
      </c>
      <c r="C177" t="s">
        <v>145</v>
      </c>
      <c r="D177" s="18">
        <v>14712.225</v>
      </c>
    </row>
    <row r="178" spans="1:4" x14ac:dyDescent="0.45">
      <c r="A178" s="25">
        <v>43221</v>
      </c>
      <c r="B178">
        <v>1001</v>
      </c>
      <c r="C178" t="s">
        <v>145</v>
      </c>
      <c r="D178" s="18">
        <v>38783.800000000003</v>
      </c>
    </row>
    <row r="179" spans="1:4" x14ac:dyDescent="0.45">
      <c r="A179" s="25">
        <v>43221</v>
      </c>
      <c r="B179">
        <v>1001</v>
      </c>
      <c r="C179" t="s">
        <v>145</v>
      </c>
      <c r="D179" s="18">
        <v>38886.65</v>
      </c>
    </row>
    <row r="180" spans="1:4" x14ac:dyDescent="0.45">
      <c r="A180" s="25">
        <v>43221</v>
      </c>
      <c r="B180">
        <v>1001</v>
      </c>
      <c r="C180" t="s">
        <v>145</v>
      </c>
      <c r="D180" s="18">
        <v>12472.9</v>
      </c>
    </row>
    <row r="181" spans="1:4" x14ac:dyDescent="0.45">
      <c r="A181" s="25">
        <v>43221</v>
      </c>
      <c r="B181">
        <v>1001</v>
      </c>
      <c r="C181" t="s">
        <v>145</v>
      </c>
      <c r="D181" s="18">
        <v>2557.2249999999999</v>
      </c>
    </row>
    <row r="182" spans="1:4" x14ac:dyDescent="0.45">
      <c r="A182" s="25">
        <v>43221</v>
      </c>
      <c r="B182">
        <v>1001</v>
      </c>
      <c r="C182" t="s">
        <v>145</v>
      </c>
      <c r="D182" s="18">
        <v>11402.325000000001</v>
      </c>
    </row>
    <row r="183" spans="1:4" x14ac:dyDescent="0.45">
      <c r="A183" s="25">
        <v>43221</v>
      </c>
      <c r="B183">
        <v>1001</v>
      </c>
      <c r="C183" t="s">
        <v>97</v>
      </c>
      <c r="D183" s="18">
        <v>1107.9749999999999</v>
      </c>
    </row>
    <row r="184" spans="1:4" x14ac:dyDescent="0.45">
      <c r="A184" s="25">
        <v>43221</v>
      </c>
      <c r="B184">
        <v>1001</v>
      </c>
      <c r="C184" t="s">
        <v>97</v>
      </c>
      <c r="D184" s="18">
        <v>35137.300000000003</v>
      </c>
    </row>
    <row r="185" spans="1:4" x14ac:dyDescent="0.45">
      <c r="A185" s="25">
        <v>43221</v>
      </c>
      <c r="B185">
        <v>1001</v>
      </c>
      <c r="C185" t="s">
        <v>97</v>
      </c>
      <c r="D185" s="18">
        <v>31621.7</v>
      </c>
    </row>
    <row r="186" spans="1:4" x14ac:dyDescent="0.45">
      <c r="A186" s="25">
        <v>43221</v>
      </c>
      <c r="B186">
        <v>1001</v>
      </c>
      <c r="C186" t="s">
        <v>97</v>
      </c>
      <c r="D186" s="18">
        <v>11201.3</v>
      </c>
    </row>
    <row r="187" spans="1:4" x14ac:dyDescent="0.45">
      <c r="A187" s="25">
        <v>43221</v>
      </c>
      <c r="B187">
        <v>1002</v>
      </c>
      <c r="C187" t="s">
        <v>104</v>
      </c>
      <c r="D187" s="18">
        <v>26628.799999999999</v>
      </c>
    </row>
    <row r="188" spans="1:4" x14ac:dyDescent="0.45">
      <c r="A188" s="25">
        <v>43221</v>
      </c>
      <c r="B188">
        <v>1002</v>
      </c>
      <c r="C188" t="s">
        <v>104</v>
      </c>
      <c r="D188" s="18">
        <v>32776.425000000003</v>
      </c>
    </row>
    <row r="189" spans="1:4" x14ac:dyDescent="0.45">
      <c r="A189" s="25">
        <v>43221</v>
      </c>
      <c r="B189">
        <v>1001</v>
      </c>
      <c r="C189" t="s">
        <v>97</v>
      </c>
      <c r="D189" s="18">
        <v>3707.2750000000001</v>
      </c>
    </row>
    <row r="190" spans="1:4" x14ac:dyDescent="0.45">
      <c r="A190" s="25">
        <v>43221</v>
      </c>
      <c r="B190">
        <v>1001</v>
      </c>
      <c r="C190" t="s">
        <v>97</v>
      </c>
      <c r="D190" s="18">
        <v>36394.875</v>
      </c>
    </row>
    <row r="191" spans="1:4" x14ac:dyDescent="0.45">
      <c r="A191" s="25">
        <v>43221</v>
      </c>
      <c r="B191">
        <v>1001</v>
      </c>
      <c r="C191" t="s">
        <v>97</v>
      </c>
      <c r="D191" s="18">
        <v>11477.125</v>
      </c>
    </row>
    <row r="192" spans="1:4" x14ac:dyDescent="0.45">
      <c r="A192" s="25">
        <v>43221</v>
      </c>
      <c r="B192">
        <v>1001</v>
      </c>
      <c r="C192" t="s">
        <v>97</v>
      </c>
      <c r="D192" s="18">
        <v>24197.8</v>
      </c>
    </row>
    <row r="193" spans="1:4" x14ac:dyDescent="0.45">
      <c r="A193" s="25">
        <v>43221</v>
      </c>
      <c r="B193">
        <v>1001</v>
      </c>
      <c r="C193" t="s">
        <v>97</v>
      </c>
      <c r="D193" s="18">
        <v>13608.924999999999</v>
      </c>
    </row>
    <row r="194" spans="1:4" x14ac:dyDescent="0.45">
      <c r="A194" s="25">
        <v>43221</v>
      </c>
      <c r="B194">
        <v>1002</v>
      </c>
      <c r="C194" t="s">
        <v>104</v>
      </c>
      <c r="D194" s="18">
        <v>3623.125</v>
      </c>
    </row>
    <row r="195" spans="1:4" x14ac:dyDescent="0.45">
      <c r="A195" s="25">
        <v>43252</v>
      </c>
      <c r="B195">
        <v>1002</v>
      </c>
      <c r="C195" t="s">
        <v>104</v>
      </c>
      <c r="D195" s="18">
        <v>45749.55</v>
      </c>
    </row>
    <row r="196" spans="1:4" x14ac:dyDescent="0.45">
      <c r="A196" s="25">
        <v>43252</v>
      </c>
      <c r="B196">
        <v>1001</v>
      </c>
      <c r="C196" t="s">
        <v>145</v>
      </c>
      <c r="D196" s="18">
        <v>28138.825000000001</v>
      </c>
    </row>
    <row r="197" spans="1:4" x14ac:dyDescent="0.45">
      <c r="A197" s="25">
        <v>43252</v>
      </c>
      <c r="B197">
        <v>1001</v>
      </c>
      <c r="C197" t="s">
        <v>145</v>
      </c>
      <c r="D197" s="18">
        <v>2360.875</v>
      </c>
    </row>
    <row r="198" spans="1:4" x14ac:dyDescent="0.45">
      <c r="A198" s="25">
        <v>43252</v>
      </c>
      <c r="B198">
        <v>1001</v>
      </c>
      <c r="C198" t="s">
        <v>145</v>
      </c>
      <c r="D198" s="18">
        <v>34403.324999999997</v>
      </c>
    </row>
    <row r="199" spans="1:4" x14ac:dyDescent="0.45">
      <c r="A199" s="25">
        <v>43252</v>
      </c>
      <c r="B199">
        <v>1001</v>
      </c>
      <c r="C199" t="s">
        <v>145</v>
      </c>
      <c r="D199" s="18">
        <v>27811.575000000001</v>
      </c>
    </row>
    <row r="200" spans="1:4" x14ac:dyDescent="0.45">
      <c r="A200" s="25">
        <v>43252</v>
      </c>
      <c r="B200">
        <v>1001</v>
      </c>
      <c r="C200" t="s">
        <v>145</v>
      </c>
      <c r="D200" s="18">
        <v>44015.125</v>
      </c>
    </row>
    <row r="201" spans="1:4" x14ac:dyDescent="0.45">
      <c r="A201" s="25">
        <v>43252</v>
      </c>
      <c r="B201">
        <v>1001</v>
      </c>
      <c r="C201" t="s">
        <v>145</v>
      </c>
      <c r="D201" s="18">
        <v>8386.9500000000007</v>
      </c>
    </row>
    <row r="202" spans="1:4" x14ac:dyDescent="0.45">
      <c r="A202" s="25">
        <v>43252</v>
      </c>
      <c r="B202">
        <v>1001</v>
      </c>
      <c r="C202" t="s">
        <v>97</v>
      </c>
      <c r="D202" s="18">
        <v>33898.425000000003</v>
      </c>
    </row>
    <row r="203" spans="1:4" x14ac:dyDescent="0.45">
      <c r="A203" s="25">
        <v>43252</v>
      </c>
      <c r="B203">
        <v>1001</v>
      </c>
      <c r="C203" t="s">
        <v>97</v>
      </c>
      <c r="D203" s="18">
        <v>32168.674999999999</v>
      </c>
    </row>
    <row r="204" spans="1:4" x14ac:dyDescent="0.45">
      <c r="A204" s="25">
        <v>43252</v>
      </c>
      <c r="B204">
        <v>1001</v>
      </c>
      <c r="C204" t="s">
        <v>97</v>
      </c>
      <c r="D204" s="18">
        <v>7428.5749999999998</v>
      </c>
    </row>
    <row r="205" spans="1:4" x14ac:dyDescent="0.45">
      <c r="A205" s="25">
        <v>43252</v>
      </c>
      <c r="B205">
        <v>1001</v>
      </c>
      <c r="C205" t="s">
        <v>97</v>
      </c>
      <c r="D205" s="18">
        <v>24581.15</v>
      </c>
    </row>
    <row r="206" spans="1:4" x14ac:dyDescent="0.45">
      <c r="A206" s="25">
        <v>43252</v>
      </c>
      <c r="B206">
        <v>1001</v>
      </c>
      <c r="C206" t="s">
        <v>97</v>
      </c>
      <c r="D206" s="18">
        <v>28106.1</v>
      </c>
    </row>
    <row r="207" spans="1:4" x14ac:dyDescent="0.45">
      <c r="A207" s="25">
        <v>43252</v>
      </c>
      <c r="B207">
        <v>1002</v>
      </c>
      <c r="C207" t="s">
        <v>104</v>
      </c>
      <c r="D207" s="18">
        <v>37942.300000000003</v>
      </c>
    </row>
    <row r="208" spans="1:4" x14ac:dyDescent="0.45">
      <c r="A208" s="25">
        <v>43252</v>
      </c>
      <c r="B208">
        <v>1002</v>
      </c>
      <c r="C208" t="s">
        <v>104</v>
      </c>
      <c r="D208" s="18">
        <v>682.55</v>
      </c>
    </row>
    <row r="209" spans="1:4" x14ac:dyDescent="0.45">
      <c r="A209" s="25">
        <v>43252</v>
      </c>
      <c r="B209">
        <v>1002</v>
      </c>
      <c r="C209" t="s">
        <v>104</v>
      </c>
      <c r="D209" s="18">
        <v>17222.7</v>
      </c>
    </row>
    <row r="210" spans="1:4" x14ac:dyDescent="0.45">
      <c r="A210" s="25">
        <v>43252</v>
      </c>
      <c r="B210">
        <v>1002</v>
      </c>
      <c r="C210" t="s">
        <v>104</v>
      </c>
      <c r="D210" s="18">
        <v>24978.525000000001</v>
      </c>
    </row>
    <row r="211" spans="1:4" x14ac:dyDescent="0.45">
      <c r="A211" s="25">
        <v>43252</v>
      </c>
      <c r="B211">
        <v>1002</v>
      </c>
      <c r="C211" t="s">
        <v>104</v>
      </c>
      <c r="D211" s="18">
        <v>19541.5</v>
      </c>
    </row>
    <row r="212" spans="1:4" x14ac:dyDescent="0.45">
      <c r="A212" s="25">
        <v>43252</v>
      </c>
      <c r="B212">
        <v>1002</v>
      </c>
      <c r="C212" t="s">
        <v>104</v>
      </c>
      <c r="D212" s="18">
        <v>44604.175000000003</v>
      </c>
    </row>
    <row r="213" spans="1:4" x14ac:dyDescent="0.45">
      <c r="A213" s="25">
        <v>43252</v>
      </c>
      <c r="B213">
        <v>1001</v>
      </c>
      <c r="C213" t="s">
        <v>145</v>
      </c>
      <c r="D213" s="18">
        <v>3174.3249999999998</v>
      </c>
    </row>
    <row r="214" spans="1:4" x14ac:dyDescent="0.45">
      <c r="A214" s="25">
        <v>43252</v>
      </c>
      <c r="B214">
        <v>1001</v>
      </c>
      <c r="C214" t="s">
        <v>97</v>
      </c>
      <c r="D214" s="18">
        <v>45347.5</v>
      </c>
    </row>
    <row r="215" spans="1:4" x14ac:dyDescent="0.45">
      <c r="A215" s="25">
        <v>43252</v>
      </c>
      <c r="B215">
        <v>1001</v>
      </c>
      <c r="C215" t="s">
        <v>97</v>
      </c>
      <c r="D215" s="18">
        <v>3894.2750000000001</v>
      </c>
    </row>
    <row r="216" spans="1:4" x14ac:dyDescent="0.45">
      <c r="A216" s="25">
        <v>43252</v>
      </c>
      <c r="B216">
        <v>1002</v>
      </c>
      <c r="C216" t="s">
        <v>104</v>
      </c>
      <c r="D216" s="18">
        <v>12173.7</v>
      </c>
    </row>
    <row r="217" spans="1:4" x14ac:dyDescent="0.45">
      <c r="A217" s="25">
        <v>43252</v>
      </c>
      <c r="B217">
        <v>1001</v>
      </c>
      <c r="C217" t="s">
        <v>145</v>
      </c>
      <c r="D217" s="18">
        <v>19784.599999999999</v>
      </c>
    </row>
    <row r="218" spans="1:4" x14ac:dyDescent="0.45">
      <c r="A218" s="25">
        <v>43252</v>
      </c>
      <c r="B218">
        <v>1002</v>
      </c>
      <c r="C218" t="s">
        <v>104</v>
      </c>
      <c r="D218" s="18">
        <v>11140.525</v>
      </c>
    </row>
    <row r="219" spans="1:4" x14ac:dyDescent="0.45">
      <c r="A219" s="25">
        <v>43252</v>
      </c>
      <c r="B219">
        <v>1002</v>
      </c>
      <c r="C219" t="s">
        <v>104</v>
      </c>
      <c r="D219" s="18">
        <v>31869.474999999999</v>
      </c>
    </row>
    <row r="220" spans="1:4" x14ac:dyDescent="0.45">
      <c r="A220" s="25">
        <v>43252</v>
      </c>
      <c r="B220">
        <v>1002</v>
      </c>
      <c r="C220" t="s">
        <v>104</v>
      </c>
      <c r="D220" s="18">
        <v>34192.949999999997</v>
      </c>
    </row>
    <row r="221" spans="1:4" x14ac:dyDescent="0.45">
      <c r="A221" s="25">
        <v>43252</v>
      </c>
      <c r="B221">
        <v>1001</v>
      </c>
      <c r="C221" t="s">
        <v>97</v>
      </c>
      <c r="D221" s="18">
        <v>26895.275000000001</v>
      </c>
    </row>
    <row r="222" spans="1:4" x14ac:dyDescent="0.45">
      <c r="A222" s="25">
        <v>43252</v>
      </c>
      <c r="B222">
        <v>1001</v>
      </c>
      <c r="C222" t="s">
        <v>97</v>
      </c>
      <c r="D222" s="18">
        <v>11781</v>
      </c>
    </row>
    <row r="223" spans="1:4" x14ac:dyDescent="0.45">
      <c r="A223" s="25">
        <v>43252</v>
      </c>
      <c r="B223">
        <v>1001</v>
      </c>
      <c r="C223" t="s">
        <v>97</v>
      </c>
      <c r="D223" s="18">
        <v>19331.125</v>
      </c>
    </row>
    <row r="224" spans="1:4" x14ac:dyDescent="0.45">
      <c r="A224" s="25">
        <v>43252</v>
      </c>
      <c r="B224">
        <v>1001</v>
      </c>
      <c r="C224" t="s">
        <v>97</v>
      </c>
      <c r="D224" s="18">
        <v>3791.4250000000002</v>
      </c>
    </row>
    <row r="225" spans="1:4" x14ac:dyDescent="0.45">
      <c r="A225" s="25">
        <v>43252</v>
      </c>
      <c r="B225">
        <v>1001</v>
      </c>
      <c r="C225" t="s">
        <v>145</v>
      </c>
      <c r="D225" s="18">
        <v>22799.974999999999</v>
      </c>
    </row>
    <row r="226" spans="1:4" x14ac:dyDescent="0.45">
      <c r="A226" s="25">
        <v>43252</v>
      </c>
      <c r="B226">
        <v>1001</v>
      </c>
      <c r="C226" t="s">
        <v>145</v>
      </c>
      <c r="D226" s="18">
        <v>44693</v>
      </c>
    </row>
    <row r="227" spans="1:4" x14ac:dyDescent="0.45">
      <c r="A227" s="25">
        <v>43252</v>
      </c>
      <c r="B227">
        <v>1001</v>
      </c>
      <c r="C227" t="s">
        <v>97</v>
      </c>
      <c r="D227" s="18">
        <v>32514.625</v>
      </c>
    </row>
    <row r="228" spans="1:4" x14ac:dyDescent="0.45">
      <c r="A228" s="25">
        <v>43252</v>
      </c>
      <c r="B228">
        <v>1001</v>
      </c>
      <c r="C228" t="s">
        <v>97</v>
      </c>
      <c r="D228" s="18">
        <v>37414.025000000001</v>
      </c>
    </row>
    <row r="229" spans="1:4" x14ac:dyDescent="0.45">
      <c r="A229" s="25">
        <v>43252</v>
      </c>
      <c r="B229">
        <v>1001</v>
      </c>
      <c r="C229" t="s">
        <v>97</v>
      </c>
      <c r="D229" s="18">
        <v>8564.6</v>
      </c>
    </row>
    <row r="230" spans="1:4" x14ac:dyDescent="0.45">
      <c r="A230" s="25">
        <v>43252</v>
      </c>
      <c r="B230">
        <v>1002</v>
      </c>
      <c r="C230" t="s">
        <v>104</v>
      </c>
      <c r="D230" s="18">
        <v>25544.2</v>
      </c>
    </row>
    <row r="231" spans="1:4" x14ac:dyDescent="0.45">
      <c r="A231" s="25">
        <v>43282</v>
      </c>
      <c r="B231">
        <v>1001</v>
      </c>
      <c r="C231" t="s">
        <v>145</v>
      </c>
      <c r="D231" s="18">
        <v>43846.824999999997</v>
      </c>
    </row>
    <row r="232" spans="1:4" x14ac:dyDescent="0.45">
      <c r="A232" s="25">
        <v>43282</v>
      </c>
      <c r="B232">
        <v>1001</v>
      </c>
      <c r="C232" t="s">
        <v>97</v>
      </c>
      <c r="D232" s="18">
        <v>40200.324999999997</v>
      </c>
    </row>
    <row r="233" spans="1:4" x14ac:dyDescent="0.45">
      <c r="A233" s="25">
        <v>43282</v>
      </c>
      <c r="B233">
        <v>1001</v>
      </c>
      <c r="C233" t="s">
        <v>97</v>
      </c>
      <c r="D233" s="18">
        <v>14202.65</v>
      </c>
    </row>
    <row r="234" spans="1:4" x14ac:dyDescent="0.45">
      <c r="A234" s="25">
        <v>43282</v>
      </c>
      <c r="B234">
        <v>1002</v>
      </c>
      <c r="C234" t="s">
        <v>104</v>
      </c>
      <c r="D234" s="18">
        <v>30308.025000000001</v>
      </c>
    </row>
    <row r="235" spans="1:4" x14ac:dyDescent="0.45">
      <c r="A235" s="25">
        <v>43282</v>
      </c>
      <c r="B235">
        <v>1001</v>
      </c>
      <c r="C235" t="s">
        <v>97</v>
      </c>
      <c r="D235" s="18">
        <v>26151.95</v>
      </c>
    </row>
    <row r="236" spans="1:4" x14ac:dyDescent="0.45">
      <c r="A236" s="25">
        <v>43282</v>
      </c>
      <c r="B236">
        <v>1002</v>
      </c>
      <c r="C236" t="s">
        <v>104</v>
      </c>
      <c r="D236" s="18">
        <v>3164.9749999999999</v>
      </c>
    </row>
    <row r="237" spans="1:4" x14ac:dyDescent="0.45">
      <c r="A237" s="25">
        <v>43282</v>
      </c>
      <c r="B237">
        <v>1001</v>
      </c>
      <c r="C237" t="s">
        <v>97</v>
      </c>
      <c r="D237" s="18">
        <v>22645.7</v>
      </c>
    </row>
    <row r="238" spans="1:4" x14ac:dyDescent="0.45">
      <c r="A238" s="25">
        <v>43282</v>
      </c>
      <c r="B238">
        <v>1002</v>
      </c>
      <c r="C238" t="s">
        <v>104</v>
      </c>
      <c r="D238" s="18">
        <v>41336.35</v>
      </c>
    </row>
    <row r="239" spans="1:4" x14ac:dyDescent="0.45">
      <c r="A239" s="25">
        <v>43282</v>
      </c>
      <c r="B239">
        <v>1002</v>
      </c>
      <c r="C239" t="s">
        <v>104</v>
      </c>
      <c r="D239" s="18">
        <v>29298.224999999999</v>
      </c>
    </row>
    <row r="240" spans="1:4" x14ac:dyDescent="0.45">
      <c r="A240" s="25">
        <v>43282</v>
      </c>
      <c r="B240">
        <v>1002</v>
      </c>
      <c r="C240" t="s">
        <v>104</v>
      </c>
      <c r="D240" s="18">
        <v>42589.25</v>
      </c>
    </row>
    <row r="241" spans="1:4" x14ac:dyDescent="0.45">
      <c r="A241" s="25">
        <v>43282</v>
      </c>
      <c r="B241">
        <v>1001</v>
      </c>
      <c r="C241" t="s">
        <v>97</v>
      </c>
      <c r="D241" s="18">
        <v>30392.174999999999</v>
      </c>
    </row>
    <row r="242" spans="1:4" x14ac:dyDescent="0.45">
      <c r="A242" s="25">
        <v>43282</v>
      </c>
      <c r="B242">
        <v>1001</v>
      </c>
      <c r="C242" t="s">
        <v>97</v>
      </c>
      <c r="D242" s="18">
        <v>27638.6</v>
      </c>
    </row>
    <row r="243" spans="1:4" x14ac:dyDescent="0.45">
      <c r="A243" s="25">
        <v>43282</v>
      </c>
      <c r="B243">
        <v>1002</v>
      </c>
      <c r="C243" t="s">
        <v>104</v>
      </c>
      <c r="D243" s="18">
        <v>43842.15</v>
      </c>
    </row>
    <row r="244" spans="1:4" x14ac:dyDescent="0.45">
      <c r="A244" s="25">
        <v>43282</v>
      </c>
      <c r="B244">
        <v>1001</v>
      </c>
      <c r="C244" t="s">
        <v>145</v>
      </c>
      <c r="D244" s="18">
        <v>38040.474999999999</v>
      </c>
    </row>
    <row r="245" spans="1:4" x14ac:dyDescent="0.45">
      <c r="A245" s="25">
        <v>43282</v>
      </c>
      <c r="B245">
        <v>1001</v>
      </c>
      <c r="C245" t="s">
        <v>145</v>
      </c>
      <c r="D245" s="18">
        <v>22893.474999999999</v>
      </c>
    </row>
    <row r="246" spans="1:4" x14ac:dyDescent="0.45">
      <c r="A246" s="25">
        <v>43282</v>
      </c>
      <c r="B246">
        <v>1002</v>
      </c>
      <c r="C246" t="s">
        <v>104</v>
      </c>
      <c r="D246" s="18">
        <v>15941.75</v>
      </c>
    </row>
    <row r="247" spans="1:4" x14ac:dyDescent="0.45">
      <c r="A247" s="25">
        <v>43282</v>
      </c>
      <c r="B247">
        <v>1002</v>
      </c>
      <c r="C247" t="s">
        <v>104</v>
      </c>
      <c r="D247" s="18">
        <v>29284.2</v>
      </c>
    </row>
    <row r="248" spans="1:4" x14ac:dyDescent="0.45">
      <c r="A248" s="25">
        <v>43282</v>
      </c>
      <c r="B248">
        <v>1001</v>
      </c>
      <c r="C248" t="s">
        <v>145</v>
      </c>
      <c r="D248" s="18">
        <v>40242.400000000001</v>
      </c>
    </row>
    <row r="249" spans="1:4" x14ac:dyDescent="0.45">
      <c r="A249" s="25">
        <v>43282</v>
      </c>
      <c r="B249">
        <v>1001</v>
      </c>
      <c r="C249" t="s">
        <v>145</v>
      </c>
      <c r="D249" s="18">
        <v>34580.974999999999</v>
      </c>
    </row>
    <row r="250" spans="1:4" x14ac:dyDescent="0.45">
      <c r="A250" s="25">
        <v>43282</v>
      </c>
      <c r="B250">
        <v>1001</v>
      </c>
      <c r="C250" t="s">
        <v>145</v>
      </c>
      <c r="D250" s="18">
        <v>7994.25</v>
      </c>
    </row>
    <row r="251" spans="1:4" x14ac:dyDescent="0.45">
      <c r="A251" s="25">
        <v>43282</v>
      </c>
      <c r="B251">
        <v>1001</v>
      </c>
      <c r="C251" t="s">
        <v>145</v>
      </c>
      <c r="D251" s="18">
        <v>65.45</v>
      </c>
    </row>
    <row r="252" spans="1:4" x14ac:dyDescent="0.45">
      <c r="A252" s="25">
        <v>43282</v>
      </c>
      <c r="B252">
        <v>1001</v>
      </c>
      <c r="C252" t="s">
        <v>97</v>
      </c>
      <c r="D252" s="18">
        <v>38419.15</v>
      </c>
    </row>
    <row r="253" spans="1:4" x14ac:dyDescent="0.45">
      <c r="A253" s="25">
        <v>43282</v>
      </c>
      <c r="B253">
        <v>1002</v>
      </c>
      <c r="C253" t="s">
        <v>104</v>
      </c>
      <c r="D253" s="18">
        <v>28905.525000000001</v>
      </c>
    </row>
    <row r="254" spans="1:4" x14ac:dyDescent="0.45">
      <c r="A254" s="25">
        <v>43282</v>
      </c>
      <c r="B254">
        <v>1002</v>
      </c>
      <c r="C254" t="s">
        <v>104</v>
      </c>
      <c r="D254" s="18">
        <v>10233.575000000001</v>
      </c>
    </row>
    <row r="255" spans="1:4" x14ac:dyDescent="0.45">
      <c r="A255" s="25">
        <v>43282</v>
      </c>
      <c r="B255">
        <v>1002</v>
      </c>
      <c r="C255" t="s">
        <v>104</v>
      </c>
      <c r="D255" s="18">
        <v>28251.025000000001</v>
      </c>
    </row>
    <row r="256" spans="1:4" x14ac:dyDescent="0.45">
      <c r="A256" s="25">
        <v>43282</v>
      </c>
      <c r="B256">
        <v>1001</v>
      </c>
      <c r="C256" t="s">
        <v>145</v>
      </c>
      <c r="D256" s="18">
        <v>30826.95</v>
      </c>
    </row>
    <row r="257" spans="1:4" x14ac:dyDescent="0.45">
      <c r="A257" s="25">
        <v>43282</v>
      </c>
      <c r="B257">
        <v>1002</v>
      </c>
      <c r="C257" t="s">
        <v>104</v>
      </c>
      <c r="D257" s="18">
        <v>25193.575000000001</v>
      </c>
    </row>
    <row r="258" spans="1:4" x14ac:dyDescent="0.45">
      <c r="A258" s="25">
        <v>43282</v>
      </c>
      <c r="B258">
        <v>1002</v>
      </c>
      <c r="C258" t="s">
        <v>104</v>
      </c>
      <c r="D258" s="18">
        <v>44440.55</v>
      </c>
    </row>
    <row r="259" spans="1:4" x14ac:dyDescent="0.45">
      <c r="A259" s="25">
        <v>43282</v>
      </c>
      <c r="B259">
        <v>1002</v>
      </c>
      <c r="C259" t="s">
        <v>104</v>
      </c>
      <c r="D259" s="18">
        <v>13132.075000000001</v>
      </c>
    </row>
    <row r="260" spans="1:4" x14ac:dyDescent="0.45">
      <c r="A260" s="25">
        <v>43282</v>
      </c>
      <c r="B260">
        <v>1002</v>
      </c>
      <c r="C260" t="s">
        <v>104</v>
      </c>
      <c r="D260" s="18">
        <v>14399</v>
      </c>
    </row>
    <row r="261" spans="1:4" x14ac:dyDescent="0.45">
      <c r="A261" s="25">
        <v>43282</v>
      </c>
      <c r="B261">
        <v>1002</v>
      </c>
      <c r="C261" t="s">
        <v>104</v>
      </c>
      <c r="D261" s="18">
        <v>26974.75</v>
      </c>
    </row>
    <row r="262" spans="1:4" x14ac:dyDescent="0.45">
      <c r="A262" s="25">
        <v>43282</v>
      </c>
      <c r="B262">
        <v>1001</v>
      </c>
      <c r="C262" t="s">
        <v>145</v>
      </c>
      <c r="D262" s="18">
        <v>11935.275</v>
      </c>
    </row>
    <row r="263" spans="1:4" x14ac:dyDescent="0.45">
      <c r="A263" s="25">
        <v>43282</v>
      </c>
      <c r="B263">
        <v>1002</v>
      </c>
      <c r="C263" t="s">
        <v>104</v>
      </c>
      <c r="D263" s="18">
        <v>15413.475</v>
      </c>
    </row>
    <row r="264" spans="1:4" x14ac:dyDescent="0.45">
      <c r="A264" s="25">
        <v>43313</v>
      </c>
      <c r="B264">
        <v>1002</v>
      </c>
      <c r="C264" t="s">
        <v>104</v>
      </c>
      <c r="D264" s="18">
        <v>39083</v>
      </c>
    </row>
    <row r="265" spans="1:4" x14ac:dyDescent="0.45">
      <c r="A265" s="25">
        <v>43313</v>
      </c>
      <c r="B265">
        <v>1001</v>
      </c>
      <c r="C265" t="s">
        <v>145</v>
      </c>
      <c r="D265" s="18">
        <v>30850.325000000001</v>
      </c>
    </row>
    <row r="266" spans="1:4" x14ac:dyDescent="0.45">
      <c r="A266" s="25">
        <v>43313</v>
      </c>
      <c r="B266">
        <v>1001</v>
      </c>
      <c r="C266" t="s">
        <v>97</v>
      </c>
      <c r="D266" s="18">
        <v>11640.75</v>
      </c>
    </row>
    <row r="267" spans="1:4" x14ac:dyDescent="0.45">
      <c r="A267" s="25">
        <v>43313</v>
      </c>
      <c r="B267">
        <v>1002</v>
      </c>
      <c r="C267" t="s">
        <v>104</v>
      </c>
      <c r="D267" s="18">
        <v>40854.824999999997</v>
      </c>
    </row>
    <row r="268" spans="1:4" x14ac:dyDescent="0.45">
      <c r="A268" s="25">
        <v>43313</v>
      </c>
      <c r="B268">
        <v>1001</v>
      </c>
      <c r="C268" t="s">
        <v>97</v>
      </c>
      <c r="D268" s="18">
        <v>31654.424999999999</v>
      </c>
    </row>
    <row r="269" spans="1:4" x14ac:dyDescent="0.45">
      <c r="A269" s="25">
        <v>43313</v>
      </c>
      <c r="B269">
        <v>1001</v>
      </c>
      <c r="C269" t="s">
        <v>97</v>
      </c>
      <c r="D269" s="18">
        <v>4955.5</v>
      </c>
    </row>
    <row r="270" spans="1:4" x14ac:dyDescent="0.45">
      <c r="A270" s="25">
        <v>43313</v>
      </c>
      <c r="B270">
        <v>1001</v>
      </c>
      <c r="C270" t="s">
        <v>145</v>
      </c>
      <c r="D270" s="18">
        <v>43846.824999999997</v>
      </c>
    </row>
    <row r="271" spans="1:4" x14ac:dyDescent="0.45">
      <c r="A271" s="25">
        <v>43313</v>
      </c>
      <c r="B271">
        <v>1001</v>
      </c>
      <c r="C271" t="s">
        <v>97</v>
      </c>
      <c r="D271" s="18">
        <v>40462.125</v>
      </c>
    </row>
    <row r="272" spans="1:4" x14ac:dyDescent="0.45">
      <c r="A272" s="25">
        <v>43313</v>
      </c>
      <c r="B272">
        <v>1001</v>
      </c>
      <c r="C272" t="s">
        <v>97</v>
      </c>
      <c r="D272" s="18">
        <v>14815.075000000001</v>
      </c>
    </row>
    <row r="273" spans="1:4" x14ac:dyDescent="0.45">
      <c r="A273" s="25">
        <v>43313</v>
      </c>
      <c r="B273">
        <v>1001</v>
      </c>
      <c r="C273" t="s">
        <v>97</v>
      </c>
      <c r="D273" s="18">
        <v>15422.825000000001</v>
      </c>
    </row>
    <row r="274" spans="1:4" x14ac:dyDescent="0.45">
      <c r="A274" s="25">
        <v>43313</v>
      </c>
      <c r="B274">
        <v>1002</v>
      </c>
      <c r="C274" t="s">
        <v>104</v>
      </c>
      <c r="D274" s="18">
        <v>33973.224999999999</v>
      </c>
    </row>
    <row r="275" spans="1:4" x14ac:dyDescent="0.45">
      <c r="A275" s="25">
        <v>43313</v>
      </c>
      <c r="B275">
        <v>1002</v>
      </c>
      <c r="C275" t="s">
        <v>104</v>
      </c>
      <c r="D275" s="18">
        <v>40214.35</v>
      </c>
    </row>
    <row r="276" spans="1:4" x14ac:dyDescent="0.45">
      <c r="A276" s="25">
        <v>43313</v>
      </c>
      <c r="B276">
        <v>1001</v>
      </c>
      <c r="C276" t="s">
        <v>97</v>
      </c>
      <c r="D276" s="18">
        <v>32397.75</v>
      </c>
    </row>
    <row r="277" spans="1:4" x14ac:dyDescent="0.45">
      <c r="A277" s="25">
        <v>43313</v>
      </c>
      <c r="B277">
        <v>1001</v>
      </c>
      <c r="C277" t="s">
        <v>97</v>
      </c>
      <c r="D277" s="18">
        <v>3655.85</v>
      </c>
    </row>
    <row r="278" spans="1:4" x14ac:dyDescent="0.45">
      <c r="A278" s="25">
        <v>43313</v>
      </c>
      <c r="B278">
        <v>1001</v>
      </c>
      <c r="C278" t="s">
        <v>97</v>
      </c>
      <c r="D278" s="18">
        <v>6442.15</v>
      </c>
    </row>
    <row r="279" spans="1:4" x14ac:dyDescent="0.45">
      <c r="A279" s="25">
        <v>43313</v>
      </c>
      <c r="B279">
        <v>1001</v>
      </c>
      <c r="C279" t="s">
        <v>97</v>
      </c>
      <c r="D279" s="18">
        <v>13038.575000000001</v>
      </c>
    </row>
    <row r="280" spans="1:4" x14ac:dyDescent="0.45">
      <c r="A280" s="25">
        <v>43313</v>
      </c>
      <c r="B280">
        <v>1001</v>
      </c>
      <c r="C280" t="s">
        <v>145</v>
      </c>
      <c r="D280" s="18">
        <v>34637.074999999997</v>
      </c>
    </row>
    <row r="281" spans="1:4" x14ac:dyDescent="0.45">
      <c r="A281" s="25">
        <v>43313</v>
      </c>
      <c r="B281">
        <v>1001</v>
      </c>
      <c r="C281" t="s">
        <v>145</v>
      </c>
      <c r="D281" s="18">
        <v>31004.6</v>
      </c>
    </row>
    <row r="282" spans="1:4" x14ac:dyDescent="0.45">
      <c r="A282" s="25">
        <v>43313</v>
      </c>
      <c r="B282">
        <v>1001</v>
      </c>
      <c r="C282" t="s">
        <v>145</v>
      </c>
      <c r="D282" s="18">
        <v>1912.075</v>
      </c>
    </row>
    <row r="283" spans="1:4" x14ac:dyDescent="0.45">
      <c r="A283" s="25">
        <v>43313</v>
      </c>
      <c r="B283">
        <v>1001</v>
      </c>
      <c r="C283" t="s">
        <v>145</v>
      </c>
      <c r="D283" s="18">
        <v>5268.7250000000004</v>
      </c>
    </row>
    <row r="284" spans="1:4" x14ac:dyDescent="0.45">
      <c r="A284" s="25">
        <v>43313</v>
      </c>
      <c r="B284">
        <v>1001</v>
      </c>
      <c r="C284" t="s">
        <v>97</v>
      </c>
      <c r="D284" s="18">
        <v>42477.05</v>
      </c>
    </row>
    <row r="285" spans="1:4" x14ac:dyDescent="0.45">
      <c r="A285" s="25">
        <v>43313</v>
      </c>
      <c r="B285">
        <v>1001</v>
      </c>
      <c r="C285" t="s">
        <v>97</v>
      </c>
      <c r="D285" s="18">
        <v>43496.2</v>
      </c>
    </row>
    <row r="286" spans="1:4" x14ac:dyDescent="0.45">
      <c r="A286" s="25">
        <v>43313</v>
      </c>
      <c r="B286">
        <v>1002</v>
      </c>
      <c r="C286" t="s">
        <v>104</v>
      </c>
      <c r="D286" s="18">
        <v>17905.25</v>
      </c>
    </row>
    <row r="287" spans="1:4" x14ac:dyDescent="0.45">
      <c r="A287" s="25">
        <v>43313</v>
      </c>
      <c r="B287">
        <v>1002</v>
      </c>
      <c r="C287" t="s">
        <v>104</v>
      </c>
      <c r="D287" s="18">
        <v>822.8</v>
      </c>
    </row>
    <row r="288" spans="1:4" x14ac:dyDescent="0.45">
      <c r="A288" s="25">
        <v>43344</v>
      </c>
      <c r="B288">
        <v>1002</v>
      </c>
      <c r="C288" t="s">
        <v>104</v>
      </c>
      <c r="D288" s="18">
        <v>45034.275000000001</v>
      </c>
    </row>
    <row r="289" spans="1:4" x14ac:dyDescent="0.45">
      <c r="A289" s="25">
        <v>43344</v>
      </c>
      <c r="B289">
        <v>1001</v>
      </c>
      <c r="C289" t="s">
        <v>97</v>
      </c>
      <c r="D289" s="18">
        <v>28774.625</v>
      </c>
    </row>
    <row r="290" spans="1:4" x14ac:dyDescent="0.45">
      <c r="A290" s="25">
        <v>43344</v>
      </c>
      <c r="B290">
        <v>1002</v>
      </c>
      <c r="C290" t="s">
        <v>104</v>
      </c>
      <c r="D290" s="18">
        <v>33557.15</v>
      </c>
    </row>
    <row r="291" spans="1:4" x14ac:dyDescent="0.45">
      <c r="A291" s="25">
        <v>43344</v>
      </c>
      <c r="B291">
        <v>1002</v>
      </c>
      <c r="C291" t="s">
        <v>104</v>
      </c>
      <c r="D291" s="18">
        <v>40083.449999999997</v>
      </c>
    </row>
    <row r="292" spans="1:4" x14ac:dyDescent="0.45">
      <c r="A292" s="25">
        <v>43344</v>
      </c>
      <c r="B292">
        <v>1001</v>
      </c>
      <c r="C292" t="s">
        <v>97</v>
      </c>
      <c r="D292" s="18">
        <v>3048.1</v>
      </c>
    </row>
    <row r="293" spans="1:4" x14ac:dyDescent="0.45">
      <c r="A293" s="25">
        <v>43344</v>
      </c>
      <c r="B293">
        <v>1001</v>
      </c>
      <c r="C293" t="s">
        <v>97</v>
      </c>
      <c r="D293" s="18">
        <v>24090.275000000001</v>
      </c>
    </row>
    <row r="294" spans="1:4" x14ac:dyDescent="0.45">
      <c r="A294" s="25">
        <v>43344</v>
      </c>
      <c r="B294">
        <v>1001</v>
      </c>
      <c r="C294" t="s">
        <v>97</v>
      </c>
      <c r="D294" s="18">
        <v>23454.474999999999</v>
      </c>
    </row>
    <row r="295" spans="1:4" x14ac:dyDescent="0.45">
      <c r="A295" s="25">
        <v>43344</v>
      </c>
      <c r="B295">
        <v>1001</v>
      </c>
      <c r="C295" t="s">
        <v>97</v>
      </c>
      <c r="D295" s="18">
        <v>39929.175000000003</v>
      </c>
    </row>
    <row r="296" spans="1:4" x14ac:dyDescent="0.45">
      <c r="A296" s="25">
        <v>43344</v>
      </c>
      <c r="B296">
        <v>1002</v>
      </c>
      <c r="C296" t="s">
        <v>104</v>
      </c>
      <c r="D296" s="18">
        <v>27834.95</v>
      </c>
    </row>
    <row r="297" spans="1:4" x14ac:dyDescent="0.45">
      <c r="A297" s="25">
        <v>43344</v>
      </c>
      <c r="B297">
        <v>1001</v>
      </c>
      <c r="C297" t="s">
        <v>97</v>
      </c>
      <c r="D297" s="18">
        <v>31771.3</v>
      </c>
    </row>
    <row r="298" spans="1:4" x14ac:dyDescent="0.45">
      <c r="A298" s="25">
        <v>43344</v>
      </c>
      <c r="B298">
        <v>1002</v>
      </c>
      <c r="C298" t="s">
        <v>104</v>
      </c>
      <c r="D298" s="18">
        <v>32659.55</v>
      </c>
    </row>
    <row r="299" spans="1:4" x14ac:dyDescent="0.45">
      <c r="A299" s="25">
        <v>43344</v>
      </c>
      <c r="B299">
        <v>1002</v>
      </c>
      <c r="C299" t="s">
        <v>104</v>
      </c>
      <c r="D299" s="18">
        <v>22556.875</v>
      </c>
    </row>
    <row r="300" spans="1:4" x14ac:dyDescent="0.45">
      <c r="A300" s="25">
        <v>43344</v>
      </c>
      <c r="B300">
        <v>1001</v>
      </c>
      <c r="C300" t="s">
        <v>97</v>
      </c>
      <c r="D300" s="18">
        <v>16086.674999999999</v>
      </c>
    </row>
    <row r="301" spans="1:4" x14ac:dyDescent="0.45">
      <c r="A301" s="25">
        <v>43344</v>
      </c>
      <c r="B301">
        <v>1001</v>
      </c>
      <c r="C301" t="s">
        <v>97</v>
      </c>
      <c r="D301" s="18">
        <v>45800.974999999999</v>
      </c>
    </row>
    <row r="302" spans="1:4" x14ac:dyDescent="0.45">
      <c r="A302" s="25">
        <v>43344</v>
      </c>
      <c r="B302">
        <v>1001</v>
      </c>
      <c r="C302" t="s">
        <v>97</v>
      </c>
      <c r="D302" s="18">
        <v>17755.650000000001</v>
      </c>
    </row>
    <row r="303" spans="1:4" x14ac:dyDescent="0.45">
      <c r="A303" s="25">
        <v>43344</v>
      </c>
      <c r="B303">
        <v>1001</v>
      </c>
      <c r="C303" t="s">
        <v>97</v>
      </c>
      <c r="D303" s="18">
        <v>16717.8</v>
      </c>
    </row>
    <row r="304" spans="1:4" x14ac:dyDescent="0.45">
      <c r="A304" s="25">
        <v>43344</v>
      </c>
      <c r="B304">
        <v>1002</v>
      </c>
      <c r="C304" t="s">
        <v>104</v>
      </c>
      <c r="D304" s="18">
        <v>29690.924999999999</v>
      </c>
    </row>
    <row r="305" spans="1:4" x14ac:dyDescent="0.45">
      <c r="A305" s="25">
        <v>43344</v>
      </c>
      <c r="B305">
        <v>1001</v>
      </c>
      <c r="C305" t="s">
        <v>97</v>
      </c>
      <c r="D305" s="18">
        <v>23043.075000000001</v>
      </c>
    </row>
    <row r="306" spans="1:4" x14ac:dyDescent="0.45">
      <c r="A306" s="25">
        <v>43344</v>
      </c>
      <c r="B306">
        <v>1002</v>
      </c>
      <c r="C306" t="s">
        <v>104</v>
      </c>
      <c r="D306" s="18">
        <v>13866.05</v>
      </c>
    </row>
    <row r="307" spans="1:4" x14ac:dyDescent="0.45">
      <c r="A307" s="25">
        <v>43344</v>
      </c>
      <c r="B307">
        <v>1001</v>
      </c>
      <c r="C307" t="s">
        <v>97</v>
      </c>
      <c r="D307" s="18">
        <v>45744.875</v>
      </c>
    </row>
    <row r="308" spans="1:4" x14ac:dyDescent="0.45">
      <c r="A308" s="25">
        <v>43344</v>
      </c>
      <c r="B308">
        <v>1001</v>
      </c>
      <c r="C308" t="s">
        <v>145</v>
      </c>
      <c r="D308" s="18">
        <v>19153.474999999999</v>
      </c>
    </row>
    <row r="309" spans="1:4" x14ac:dyDescent="0.45">
      <c r="A309" s="25">
        <v>43344</v>
      </c>
      <c r="B309">
        <v>1001</v>
      </c>
      <c r="C309" t="s">
        <v>145</v>
      </c>
      <c r="D309" s="18">
        <v>1785.85</v>
      </c>
    </row>
    <row r="310" spans="1:4" x14ac:dyDescent="0.45">
      <c r="A310" s="25">
        <v>43344</v>
      </c>
      <c r="B310">
        <v>1001</v>
      </c>
      <c r="C310" t="s">
        <v>145</v>
      </c>
      <c r="D310" s="18">
        <v>17110.5</v>
      </c>
    </row>
    <row r="311" spans="1:4" x14ac:dyDescent="0.45">
      <c r="A311" s="25">
        <v>43344</v>
      </c>
      <c r="B311">
        <v>1001</v>
      </c>
      <c r="C311" t="s">
        <v>145</v>
      </c>
      <c r="D311" s="18">
        <v>28629.7</v>
      </c>
    </row>
    <row r="312" spans="1:4" x14ac:dyDescent="0.45">
      <c r="A312" s="25">
        <v>43344</v>
      </c>
      <c r="B312">
        <v>1001</v>
      </c>
      <c r="C312" t="s">
        <v>145</v>
      </c>
      <c r="D312" s="18">
        <v>35497.275000000001</v>
      </c>
    </row>
    <row r="313" spans="1:4" x14ac:dyDescent="0.45">
      <c r="A313" s="25">
        <v>43344</v>
      </c>
      <c r="B313">
        <v>1001</v>
      </c>
      <c r="C313" t="s">
        <v>145</v>
      </c>
      <c r="D313" s="18">
        <v>21654.6</v>
      </c>
    </row>
    <row r="314" spans="1:4" x14ac:dyDescent="0.45">
      <c r="A314" s="25">
        <v>43344</v>
      </c>
      <c r="B314">
        <v>1001</v>
      </c>
      <c r="C314" t="s">
        <v>145</v>
      </c>
      <c r="D314" s="18">
        <v>39793.599999999999</v>
      </c>
    </row>
    <row r="315" spans="1:4" x14ac:dyDescent="0.45">
      <c r="A315" s="25">
        <v>43344</v>
      </c>
      <c r="B315">
        <v>1001</v>
      </c>
      <c r="C315" t="s">
        <v>97</v>
      </c>
      <c r="D315" s="18">
        <v>16058.625</v>
      </c>
    </row>
    <row r="316" spans="1:4" x14ac:dyDescent="0.45">
      <c r="A316" s="25">
        <v>43344</v>
      </c>
      <c r="B316">
        <v>1001</v>
      </c>
      <c r="C316" t="s">
        <v>97</v>
      </c>
      <c r="D316" s="18">
        <v>34417.35</v>
      </c>
    </row>
    <row r="317" spans="1:4" x14ac:dyDescent="0.45">
      <c r="A317" s="25">
        <v>43344</v>
      </c>
      <c r="B317">
        <v>1001</v>
      </c>
      <c r="C317" t="s">
        <v>97</v>
      </c>
      <c r="D317" s="18">
        <v>28540.875</v>
      </c>
    </row>
    <row r="318" spans="1:4" x14ac:dyDescent="0.45">
      <c r="A318" s="25">
        <v>43344</v>
      </c>
      <c r="B318">
        <v>1002</v>
      </c>
      <c r="C318" t="s">
        <v>104</v>
      </c>
      <c r="D318" s="18">
        <v>29910.65</v>
      </c>
    </row>
    <row r="319" spans="1:4" x14ac:dyDescent="0.45">
      <c r="A319" s="25">
        <v>43344</v>
      </c>
      <c r="B319">
        <v>1002</v>
      </c>
      <c r="C319" t="s">
        <v>104</v>
      </c>
      <c r="D319" s="18">
        <v>38213.449999999997</v>
      </c>
    </row>
    <row r="320" spans="1:4" x14ac:dyDescent="0.45">
      <c r="A320" s="25">
        <v>43374</v>
      </c>
      <c r="B320">
        <v>1001</v>
      </c>
      <c r="C320" t="s">
        <v>145</v>
      </c>
      <c r="D320" s="18">
        <v>5432.35</v>
      </c>
    </row>
    <row r="321" spans="1:4" x14ac:dyDescent="0.45">
      <c r="A321" s="25">
        <v>43374</v>
      </c>
      <c r="B321">
        <v>1001</v>
      </c>
      <c r="C321" t="s">
        <v>97</v>
      </c>
      <c r="D321" s="18">
        <v>28816.7</v>
      </c>
    </row>
    <row r="322" spans="1:4" x14ac:dyDescent="0.45">
      <c r="A322" s="25">
        <v>43374</v>
      </c>
      <c r="B322">
        <v>1001</v>
      </c>
      <c r="C322" t="s">
        <v>97</v>
      </c>
      <c r="D322" s="18">
        <v>18788.825000000001</v>
      </c>
    </row>
    <row r="323" spans="1:4" x14ac:dyDescent="0.45">
      <c r="A323" s="25">
        <v>43374</v>
      </c>
      <c r="B323">
        <v>1001</v>
      </c>
      <c r="C323" t="s">
        <v>145</v>
      </c>
      <c r="D323" s="18">
        <v>1977.5250000000001</v>
      </c>
    </row>
    <row r="324" spans="1:4" x14ac:dyDescent="0.45">
      <c r="A324" s="25">
        <v>43374</v>
      </c>
      <c r="B324">
        <v>1001</v>
      </c>
      <c r="C324" t="s">
        <v>145</v>
      </c>
      <c r="D324" s="18">
        <v>9331.2999999999993</v>
      </c>
    </row>
    <row r="325" spans="1:4" x14ac:dyDescent="0.45">
      <c r="A325" s="25">
        <v>43374</v>
      </c>
      <c r="B325">
        <v>1001</v>
      </c>
      <c r="C325" t="s">
        <v>145</v>
      </c>
      <c r="D325" s="18">
        <v>19681.75</v>
      </c>
    </row>
    <row r="326" spans="1:4" x14ac:dyDescent="0.45">
      <c r="A326" s="25">
        <v>43374</v>
      </c>
      <c r="B326">
        <v>1001</v>
      </c>
      <c r="C326" t="s">
        <v>145</v>
      </c>
      <c r="D326" s="18">
        <v>34866.15</v>
      </c>
    </row>
    <row r="327" spans="1:4" x14ac:dyDescent="0.45">
      <c r="A327" s="25">
        <v>43374</v>
      </c>
      <c r="B327">
        <v>1001</v>
      </c>
      <c r="C327" t="s">
        <v>145</v>
      </c>
      <c r="D327" s="18">
        <v>15362.05</v>
      </c>
    </row>
    <row r="328" spans="1:4" x14ac:dyDescent="0.45">
      <c r="A328" s="25">
        <v>43374</v>
      </c>
      <c r="B328">
        <v>1001</v>
      </c>
      <c r="C328" t="s">
        <v>145</v>
      </c>
      <c r="D328" s="18">
        <v>29625.474999999999</v>
      </c>
    </row>
    <row r="329" spans="1:4" x14ac:dyDescent="0.45">
      <c r="A329" s="25">
        <v>43374</v>
      </c>
      <c r="B329">
        <v>1001</v>
      </c>
      <c r="C329" t="s">
        <v>145</v>
      </c>
      <c r="D329" s="18">
        <v>34010.625</v>
      </c>
    </row>
    <row r="330" spans="1:4" x14ac:dyDescent="0.45">
      <c r="A330" s="25">
        <v>43374</v>
      </c>
      <c r="B330">
        <v>1001</v>
      </c>
      <c r="C330" t="s">
        <v>145</v>
      </c>
      <c r="D330" s="18">
        <v>26558.674999999999</v>
      </c>
    </row>
    <row r="331" spans="1:4" x14ac:dyDescent="0.45">
      <c r="A331" s="25">
        <v>43374</v>
      </c>
      <c r="B331">
        <v>1001</v>
      </c>
      <c r="C331" t="s">
        <v>145</v>
      </c>
      <c r="D331" s="18">
        <v>14095.125</v>
      </c>
    </row>
    <row r="332" spans="1:4" x14ac:dyDescent="0.45">
      <c r="A332" s="25">
        <v>43374</v>
      </c>
      <c r="B332">
        <v>1001</v>
      </c>
      <c r="C332" t="s">
        <v>97</v>
      </c>
      <c r="D332" s="18">
        <v>26530.625</v>
      </c>
    </row>
    <row r="333" spans="1:4" x14ac:dyDescent="0.45">
      <c r="A333" s="25">
        <v>43374</v>
      </c>
      <c r="B333">
        <v>1001</v>
      </c>
      <c r="C333" t="s">
        <v>97</v>
      </c>
      <c r="D333" s="18">
        <v>7863.35</v>
      </c>
    </row>
    <row r="334" spans="1:4" x14ac:dyDescent="0.45">
      <c r="A334" s="25">
        <v>43374</v>
      </c>
      <c r="B334">
        <v>1001</v>
      </c>
      <c r="C334" t="s">
        <v>97</v>
      </c>
      <c r="D334" s="18">
        <v>24641.924999999999</v>
      </c>
    </row>
    <row r="335" spans="1:4" x14ac:dyDescent="0.45">
      <c r="A335" s="25">
        <v>43374</v>
      </c>
      <c r="B335">
        <v>1001</v>
      </c>
      <c r="C335" t="s">
        <v>97</v>
      </c>
      <c r="D335" s="18">
        <v>10691.725</v>
      </c>
    </row>
    <row r="336" spans="1:4" x14ac:dyDescent="0.45">
      <c r="A336" s="25">
        <v>43374</v>
      </c>
      <c r="B336">
        <v>1001</v>
      </c>
      <c r="C336" t="s">
        <v>97</v>
      </c>
      <c r="D336" s="18">
        <v>112.2</v>
      </c>
    </row>
    <row r="337" spans="1:4" x14ac:dyDescent="0.45">
      <c r="A337" s="25">
        <v>43374</v>
      </c>
      <c r="B337">
        <v>1001</v>
      </c>
      <c r="C337" t="s">
        <v>97</v>
      </c>
      <c r="D337" s="18">
        <v>36853.025000000001</v>
      </c>
    </row>
    <row r="338" spans="1:4" x14ac:dyDescent="0.45">
      <c r="A338" s="25">
        <v>43374</v>
      </c>
      <c r="B338">
        <v>1001</v>
      </c>
      <c r="C338" t="s">
        <v>97</v>
      </c>
      <c r="D338" s="18">
        <v>44155.375</v>
      </c>
    </row>
    <row r="339" spans="1:4" x14ac:dyDescent="0.45">
      <c r="A339" s="25">
        <v>43374</v>
      </c>
      <c r="B339">
        <v>1001</v>
      </c>
      <c r="C339" t="s">
        <v>97</v>
      </c>
      <c r="D339" s="18">
        <v>30284.65</v>
      </c>
    </row>
    <row r="340" spans="1:4" x14ac:dyDescent="0.45">
      <c r="A340" s="25">
        <v>43374</v>
      </c>
      <c r="B340">
        <v>1001</v>
      </c>
      <c r="C340" t="s">
        <v>97</v>
      </c>
      <c r="D340" s="18">
        <v>42626.65</v>
      </c>
    </row>
    <row r="341" spans="1:4" x14ac:dyDescent="0.45">
      <c r="A341" s="25">
        <v>43374</v>
      </c>
      <c r="B341">
        <v>1002</v>
      </c>
      <c r="C341" t="s">
        <v>104</v>
      </c>
      <c r="D341" s="18">
        <v>26273.5</v>
      </c>
    </row>
    <row r="342" spans="1:4" x14ac:dyDescent="0.45">
      <c r="A342" s="25">
        <v>43374</v>
      </c>
      <c r="B342">
        <v>1002</v>
      </c>
      <c r="C342" t="s">
        <v>104</v>
      </c>
      <c r="D342" s="18">
        <v>41490.625</v>
      </c>
    </row>
    <row r="343" spans="1:4" x14ac:dyDescent="0.45">
      <c r="A343" s="25">
        <v>43374</v>
      </c>
      <c r="B343">
        <v>1002</v>
      </c>
      <c r="C343" t="s">
        <v>104</v>
      </c>
      <c r="D343" s="18">
        <v>35688.949999999997</v>
      </c>
    </row>
    <row r="344" spans="1:4" x14ac:dyDescent="0.45">
      <c r="A344" s="25">
        <v>43374</v>
      </c>
      <c r="B344">
        <v>1002</v>
      </c>
      <c r="C344" t="s">
        <v>104</v>
      </c>
      <c r="D344" s="18">
        <v>33384.175000000003</v>
      </c>
    </row>
    <row r="345" spans="1:4" x14ac:dyDescent="0.45">
      <c r="A345" s="25">
        <v>43374</v>
      </c>
      <c r="B345">
        <v>1002</v>
      </c>
      <c r="C345" t="s">
        <v>104</v>
      </c>
      <c r="D345" s="18">
        <v>20149.25</v>
      </c>
    </row>
    <row r="346" spans="1:4" x14ac:dyDescent="0.45">
      <c r="A346" s="25">
        <v>43374</v>
      </c>
      <c r="B346">
        <v>1002</v>
      </c>
      <c r="C346" t="s">
        <v>104</v>
      </c>
      <c r="D346" s="18">
        <v>35932.050000000003</v>
      </c>
    </row>
    <row r="347" spans="1:4" x14ac:dyDescent="0.45">
      <c r="A347" s="25">
        <v>43374</v>
      </c>
      <c r="B347">
        <v>1002</v>
      </c>
      <c r="C347" t="s">
        <v>104</v>
      </c>
      <c r="D347" s="18">
        <v>42346.15</v>
      </c>
    </row>
    <row r="348" spans="1:4" x14ac:dyDescent="0.45">
      <c r="A348" s="25">
        <v>43374</v>
      </c>
      <c r="B348">
        <v>1002</v>
      </c>
      <c r="C348" t="s">
        <v>104</v>
      </c>
      <c r="D348" s="18">
        <v>19059.974999999999</v>
      </c>
    </row>
    <row r="349" spans="1:4" x14ac:dyDescent="0.45">
      <c r="A349" s="25">
        <v>43374</v>
      </c>
      <c r="B349">
        <v>1001</v>
      </c>
      <c r="C349" t="s">
        <v>97</v>
      </c>
      <c r="D349" s="18">
        <v>46404.05</v>
      </c>
    </row>
    <row r="350" spans="1:4" x14ac:dyDescent="0.45">
      <c r="A350" s="25">
        <v>43374</v>
      </c>
      <c r="B350">
        <v>1001</v>
      </c>
      <c r="C350" t="s">
        <v>145</v>
      </c>
      <c r="D350" s="18">
        <v>663.85</v>
      </c>
    </row>
    <row r="351" spans="1:4" x14ac:dyDescent="0.45">
      <c r="A351" s="25">
        <v>43374</v>
      </c>
      <c r="B351">
        <v>1001</v>
      </c>
      <c r="C351" t="s">
        <v>145</v>
      </c>
      <c r="D351" s="18">
        <v>3478.2</v>
      </c>
    </row>
    <row r="352" spans="1:4" x14ac:dyDescent="0.45">
      <c r="A352" s="25">
        <v>43374</v>
      </c>
      <c r="B352">
        <v>1001</v>
      </c>
      <c r="C352" t="s">
        <v>145</v>
      </c>
      <c r="D352" s="18">
        <v>45670.074999999997</v>
      </c>
    </row>
    <row r="353" spans="1:4" x14ac:dyDescent="0.45">
      <c r="A353" s="25">
        <v>43374</v>
      </c>
      <c r="B353">
        <v>1001</v>
      </c>
      <c r="C353" t="s">
        <v>97</v>
      </c>
      <c r="D353" s="18">
        <v>45754.224999999999</v>
      </c>
    </row>
    <row r="354" spans="1:4" x14ac:dyDescent="0.45">
      <c r="A354" s="25">
        <v>43374</v>
      </c>
      <c r="B354">
        <v>1002</v>
      </c>
      <c r="C354" t="s">
        <v>104</v>
      </c>
      <c r="D354" s="18">
        <v>11089.1</v>
      </c>
    </row>
    <row r="355" spans="1:4" x14ac:dyDescent="0.45">
      <c r="A355" s="25">
        <v>43374</v>
      </c>
      <c r="B355">
        <v>1001</v>
      </c>
      <c r="C355" t="s">
        <v>145</v>
      </c>
      <c r="D355" s="18">
        <v>10023.200000000001</v>
      </c>
    </row>
    <row r="356" spans="1:4" x14ac:dyDescent="0.45">
      <c r="A356" s="25">
        <v>43374</v>
      </c>
      <c r="B356">
        <v>1001</v>
      </c>
      <c r="C356" t="s">
        <v>97</v>
      </c>
      <c r="D356" s="18">
        <v>23304.875</v>
      </c>
    </row>
    <row r="357" spans="1:4" x14ac:dyDescent="0.45">
      <c r="A357" s="25">
        <v>43374</v>
      </c>
      <c r="B357">
        <v>1002</v>
      </c>
      <c r="C357" t="s">
        <v>104</v>
      </c>
      <c r="D357" s="18">
        <v>11187.275</v>
      </c>
    </row>
    <row r="358" spans="1:4" x14ac:dyDescent="0.45">
      <c r="A358" s="25">
        <v>43374</v>
      </c>
      <c r="B358">
        <v>1001</v>
      </c>
      <c r="C358" t="s">
        <v>97</v>
      </c>
      <c r="D358" s="18">
        <v>13375.174999999999</v>
      </c>
    </row>
    <row r="359" spans="1:4" x14ac:dyDescent="0.45">
      <c r="A359" s="25">
        <v>43374</v>
      </c>
      <c r="B359">
        <v>1002</v>
      </c>
      <c r="C359" t="s">
        <v>104</v>
      </c>
      <c r="D359" s="18">
        <v>13538.8</v>
      </c>
    </row>
    <row r="360" spans="1:4" x14ac:dyDescent="0.45">
      <c r="A360" s="25">
        <v>43374</v>
      </c>
      <c r="B360">
        <v>1001</v>
      </c>
      <c r="C360" t="s">
        <v>97</v>
      </c>
      <c r="D360" s="18">
        <v>28751.25</v>
      </c>
    </row>
    <row r="361" spans="1:4" x14ac:dyDescent="0.45">
      <c r="A361" s="25">
        <v>43374</v>
      </c>
      <c r="B361">
        <v>1001</v>
      </c>
      <c r="C361" t="s">
        <v>97</v>
      </c>
      <c r="D361" s="18">
        <v>31462.75</v>
      </c>
    </row>
    <row r="362" spans="1:4" x14ac:dyDescent="0.45">
      <c r="A362" s="25">
        <v>43374</v>
      </c>
      <c r="B362">
        <v>1002</v>
      </c>
      <c r="C362" t="s">
        <v>104</v>
      </c>
      <c r="D362" s="18">
        <v>24707.375</v>
      </c>
    </row>
    <row r="363" spans="1:4" x14ac:dyDescent="0.45">
      <c r="A363" s="25">
        <v>43374</v>
      </c>
      <c r="B363">
        <v>1001</v>
      </c>
      <c r="C363" t="s">
        <v>145</v>
      </c>
      <c r="D363" s="18">
        <v>37442.074999999997</v>
      </c>
    </row>
    <row r="364" spans="1:4" x14ac:dyDescent="0.45">
      <c r="A364" s="25">
        <v>43374</v>
      </c>
      <c r="B364">
        <v>1001</v>
      </c>
      <c r="C364" t="s">
        <v>97</v>
      </c>
      <c r="D364" s="18">
        <v>2748.9</v>
      </c>
    </row>
    <row r="365" spans="1:4" x14ac:dyDescent="0.45">
      <c r="A365" s="25">
        <v>43374</v>
      </c>
      <c r="B365">
        <v>1001</v>
      </c>
      <c r="C365" t="s">
        <v>97</v>
      </c>
      <c r="D365" s="18">
        <v>28092.075000000001</v>
      </c>
    </row>
    <row r="366" spans="1:4" x14ac:dyDescent="0.45">
      <c r="A366" s="25">
        <v>43374</v>
      </c>
      <c r="B366">
        <v>1001</v>
      </c>
      <c r="C366" t="s">
        <v>97</v>
      </c>
      <c r="D366" s="18">
        <v>21453.575000000001</v>
      </c>
    </row>
    <row r="367" spans="1:4" x14ac:dyDescent="0.45">
      <c r="A367" s="25">
        <v>43374</v>
      </c>
      <c r="B367">
        <v>1002</v>
      </c>
      <c r="C367" t="s">
        <v>104</v>
      </c>
      <c r="D367" s="18">
        <v>38363.050000000003</v>
      </c>
    </row>
    <row r="368" spans="1:4" x14ac:dyDescent="0.45">
      <c r="A368" s="25">
        <v>43374</v>
      </c>
      <c r="B368">
        <v>1002</v>
      </c>
      <c r="C368" t="s">
        <v>104</v>
      </c>
      <c r="D368" s="18">
        <v>45670.074999999997</v>
      </c>
    </row>
    <row r="369" spans="1:4" x14ac:dyDescent="0.45">
      <c r="A369" s="25">
        <v>43374</v>
      </c>
      <c r="B369">
        <v>1001</v>
      </c>
      <c r="C369" t="s">
        <v>97</v>
      </c>
      <c r="D369" s="18">
        <v>28933.575000000001</v>
      </c>
    </row>
    <row r="370" spans="1:4" x14ac:dyDescent="0.45">
      <c r="A370" s="25">
        <v>43374</v>
      </c>
      <c r="B370">
        <v>1002</v>
      </c>
      <c r="C370" t="s">
        <v>104</v>
      </c>
      <c r="D370" s="18">
        <v>2496.4499999999998</v>
      </c>
    </row>
    <row r="371" spans="1:4" x14ac:dyDescent="0.45">
      <c r="A371" s="25">
        <v>43374</v>
      </c>
      <c r="B371">
        <v>1001</v>
      </c>
      <c r="C371" t="s">
        <v>145</v>
      </c>
      <c r="D371" s="18">
        <v>12884.3</v>
      </c>
    </row>
    <row r="372" spans="1:4" x14ac:dyDescent="0.45">
      <c r="A372" s="25">
        <v>43374</v>
      </c>
      <c r="B372">
        <v>1001</v>
      </c>
      <c r="C372" t="s">
        <v>145</v>
      </c>
      <c r="D372" s="18">
        <v>13524.775</v>
      </c>
    </row>
    <row r="373" spans="1:4" x14ac:dyDescent="0.45">
      <c r="A373" s="25">
        <v>43374</v>
      </c>
      <c r="B373">
        <v>1001</v>
      </c>
      <c r="C373" t="s">
        <v>97</v>
      </c>
      <c r="D373" s="18">
        <v>42004.875</v>
      </c>
    </row>
    <row r="374" spans="1:4" x14ac:dyDescent="0.45">
      <c r="A374" s="25">
        <v>43374</v>
      </c>
      <c r="B374">
        <v>1002</v>
      </c>
      <c r="C374" t="s">
        <v>104</v>
      </c>
      <c r="D374" s="18">
        <v>34679.15</v>
      </c>
    </row>
    <row r="375" spans="1:4" x14ac:dyDescent="0.45">
      <c r="A375" s="25">
        <v>43374</v>
      </c>
      <c r="B375">
        <v>1002</v>
      </c>
      <c r="C375" t="s">
        <v>104</v>
      </c>
      <c r="D375" s="18">
        <v>41523.35</v>
      </c>
    </row>
    <row r="376" spans="1:4" x14ac:dyDescent="0.45">
      <c r="A376" s="25">
        <v>43374</v>
      </c>
      <c r="B376">
        <v>1001</v>
      </c>
      <c r="C376" t="s">
        <v>97</v>
      </c>
      <c r="D376" s="18">
        <v>4978.875</v>
      </c>
    </row>
    <row r="377" spans="1:4" x14ac:dyDescent="0.45">
      <c r="A377" s="25">
        <v>43374</v>
      </c>
      <c r="B377">
        <v>1001</v>
      </c>
      <c r="C377" t="s">
        <v>97</v>
      </c>
      <c r="D377" s="18">
        <v>24482.974999999999</v>
      </c>
    </row>
    <row r="378" spans="1:4" x14ac:dyDescent="0.45">
      <c r="A378" s="25">
        <v>43374</v>
      </c>
      <c r="B378">
        <v>1002</v>
      </c>
      <c r="C378" t="s">
        <v>104</v>
      </c>
      <c r="D378" s="18">
        <v>15114.275</v>
      </c>
    </row>
    <row r="379" spans="1:4" x14ac:dyDescent="0.45">
      <c r="A379" s="25">
        <v>43405</v>
      </c>
      <c r="B379">
        <v>1001</v>
      </c>
      <c r="C379" t="s">
        <v>97</v>
      </c>
      <c r="D379" s="18">
        <v>29807.8</v>
      </c>
    </row>
    <row r="380" spans="1:4" x14ac:dyDescent="0.45">
      <c r="A380" s="25">
        <v>43405</v>
      </c>
      <c r="B380">
        <v>1001</v>
      </c>
      <c r="C380" t="s">
        <v>97</v>
      </c>
      <c r="D380" s="18">
        <v>30410.875</v>
      </c>
    </row>
    <row r="381" spans="1:4" x14ac:dyDescent="0.45">
      <c r="A381" s="25">
        <v>43405</v>
      </c>
      <c r="B381">
        <v>1001</v>
      </c>
      <c r="C381" t="s">
        <v>97</v>
      </c>
      <c r="D381" s="18">
        <v>18798.174999999999</v>
      </c>
    </row>
    <row r="382" spans="1:4" x14ac:dyDescent="0.45">
      <c r="A382" s="25">
        <v>43405</v>
      </c>
      <c r="B382">
        <v>1002</v>
      </c>
      <c r="C382" t="s">
        <v>104</v>
      </c>
      <c r="D382" s="18">
        <v>15329.325000000001</v>
      </c>
    </row>
    <row r="383" spans="1:4" x14ac:dyDescent="0.45">
      <c r="A383" s="25">
        <v>43405</v>
      </c>
      <c r="B383">
        <v>1002</v>
      </c>
      <c r="C383" t="s">
        <v>104</v>
      </c>
      <c r="D383" s="18">
        <v>19218.924999999999</v>
      </c>
    </row>
    <row r="384" spans="1:4" x14ac:dyDescent="0.45">
      <c r="A384" s="25">
        <v>43405</v>
      </c>
      <c r="B384">
        <v>1002</v>
      </c>
      <c r="C384" t="s">
        <v>104</v>
      </c>
      <c r="D384" s="18">
        <v>40579</v>
      </c>
    </row>
    <row r="385" spans="1:4" x14ac:dyDescent="0.45">
      <c r="A385" s="25">
        <v>43405</v>
      </c>
      <c r="B385">
        <v>1001</v>
      </c>
      <c r="C385" t="s">
        <v>97</v>
      </c>
      <c r="D385" s="18">
        <v>33080.300000000003</v>
      </c>
    </row>
    <row r="386" spans="1:4" x14ac:dyDescent="0.45">
      <c r="A386" s="25">
        <v>43405</v>
      </c>
      <c r="B386">
        <v>1001</v>
      </c>
      <c r="C386" t="s">
        <v>97</v>
      </c>
      <c r="D386" s="18">
        <v>79.474999999999994</v>
      </c>
    </row>
    <row r="387" spans="1:4" x14ac:dyDescent="0.45">
      <c r="A387" s="25">
        <v>43405</v>
      </c>
      <c r="B387">
        <v>1001</v>
      </c>
      <c r="C387" t="s">
        <v>145</v>
      </c>
      <c r="D387" s="18">
        <v>22589.599999999999</v>
      </c>
    </row>
    <row r="388" spans="1:4" x14ac:dyDescent="0.45">
      <c r="A388" s="25">
        <v>43405</v>
      </c>
      <c r="B388">
        <v>1001</v>
      </c>
      <c r="C388" t="s">
        <v>145</v>
      </c>
      <c r="D388" s="18">
        <v>28269.724999999999</v>
      </c>
    </row>
    <row r="389" spans="1:4" x14ac:dyDescent="0.45">
      <c r="A389" s="25">
        <v>43405</v>
      </c>
      <c r="B389">
        <v>1001</v>
      </c>
      <c r="C389" t="s">
        <v>145</v>
      </c>
      <c r="D389" s="18">
        <v>37488.824999999997</v>
      </c>
    </row>
    <row r="390" spans="1:4" x14ac:dyDescent="0.45">
      <c r="A390" s="25">
        <v>43405</v>
      </c>
      <c r="B390">
        <v>1001</v>
      </c>
      <c r="C390" t="s">
        <v>145</v>
      </c>
      <c r="D390" s="18">
        <v>29681.575000000001</v>
      </c>
    </row>
    <row r="391" spans="1:4" x14ac:dyDescent="0.45">
      <c r="A391" s="25">
        <v>43405</v>
      </c>
      <c r="B391">
        <v>1001</v>
      </c>
      <c r="C391" t="s">
        <v>97</v>
      </c>
      <c r="D391" s="18">
        <v>42458.35</v>
      </c>
    </row>
    <row r="392" spans="1:4" x14ac:dyDescent="0.45">
      <c r="A392" s="25">
        <v>43405</v>
      </c>
      <c r="B392">
        <v>1001</v>
      </c>
      <c r="C392" t="s">
        <v>97</v>
      </c>
      <c r="D392" s="18">
        <v>27185.125</v>
      </c>
    </row>
    <row r="393" spans="1:4" x14ac:dyDescent="0.45">
      <c r="A393" s="25">
        <v>43405</v>
      </c>
      <c r="B393">
        <v>1001</v>
      </c>
      <c r="C393" t="s">
        <v>97</v>
      </c>
      <c r="D393" s="18">
        <v>24529.724999999999</v>
      </c>
    </row>
    <row r="394" spans="1:4" x14ac:dyDescent="0.45">
      <c r="A394" s="25">
        <v>43405</v>
      </c>
      <c r="B394">
        <v>1001</v>
      </c>
      <c r="C394" t="s">
        <v>97</v>
      </c>
      <c r="D394" s="18">
        <v>34422.025000000001</v>
      </c>
    </row>
    <row r="395" spans="1:4" x14ac:dyDescent="0.45">
      <c r="A395" s="25">
        <v>43405</v>
      </c>
      <c r="B395">
        <v>1001</v>
      </c>
      <c r="C395" t="s">
        <v>97</v>
      </c>
      <c r="D395" s="18">
        <v>2000.9</v>
      </c>
    </row>
    <row r="396" spans="1:4" x14ac:dyDescent="0.45">
      <c r="A396" s="25">
        <v>43405</v>
      </c>
      <c r="B396">
        <v>1001</v>
      </c>
      <c r="C396" t="s">
        <v>97</v>
      </c>
      <c r="D396" s="18">
        <v>2847.0749999999998</v>
      </c>
    </row>
    <row r="397" spans="1:4" x14ac:dyDescent="0.45">
      <c r="A397" s="25">
        <v>43405</v>
      </c>
      <c r="B397">
        <v>1001</v>
      </c>
      <c r="C397" t="s">
        <v>97</v>
      </c>
      <c r="D397" s="18">
        <v>14146.55</v>
      </c>
    </row>
    <row r="398" spans="1:4" x14ac:dyDescent="0.45">
      <c r="A398" s="25">
        <v>43405</v>
      </c>
      <c r="B398">
        <v>1001</v>
      </c>
      <c r="C398" t="s">
        <v>97</v>
      </c>
      <c r="D398" s="18">
        <v>26072.474999999999</v>
      </c>
    </row>
    <row r="399" spans="1:4" x14ac:dyDescent="0.45">
      <c r="A399" s="25">
        <v>43405</v>
      </c>
      <c r="B399">
        <v>1001</v>
      </c>
      <c r="C399" t="s">
        <v>97</v>
      </c>
      <c r="D399" s="18">
        <v>5857.7749999999996</v>
      </c>
    </row>
    <row r="400" spans="1:4" x14ac:dyDescent="0.45">
      <c r="A400" s="25">
        <v>43405</v>
      </c>
      <c r="B400">
        <v>1001</v>
      </c>
      <c r="C400" t="s">
        <v>97</v>
      </c>
      <c r="D400" s="18">
        <v>32739.025000000001</v>
      </c>
    </row>
    <row r="401" spans="1:4" x14ac:dyDescent="0.45">
      <c r="A401" s="25">
        <v>43405</v>
      </c>
      <c r="B401">
        <v>1002</v>
      </c>
      <c r="C401" t="s">
        <v>104</v>
      </c>
      <c r="D401" s="18">
        <v>1706.375</v>
      </c>
    </row>
    <row r="402" spans="1:4" x14ac:dyDescent="0.45">
      <c r="A402" s="25">
        <v>43405</v>
      </c>
      <c r="B402">
        <v>1001</v>
      </c>
      <c r="C402" t="s">
        <v>97</v>
      </c>
      <c r="D402" s="18">
        <v>23875.224999999999</v>
      </c>
    </row>
    <row r="403" spans="1:4" x14ac:dyDescent="0.45">
      <c r="A403" s="25">
        <v>43405</v>
      </c>
      <c r="B403">
        <v>1002</v>
      </c>
      <c r="C403" t="s">
        <v>104</v>
      </c>
      <c r="D403" s="18">
        <v>3637.15</v>
      </c>
    </row>
    <row r="404" spans="1:4" x14ac:dyDescent="0.45">
      <c r="A404" s="25">
        <v>43435</v>
      </c>
      <c r="B404">
        <v>1001</v>
      </c>
      <c r="C404" t="s">
        <v>145</v>
      </c>
      <c r="D404" s="18">
        <v>25969.625</v>
      </c>
    </row>
    <row r="405" spans="1:4" x14ac:dyDescent="0.45">
      <c r="A405" s="25">
        <v>43435</v>
      </c>
      <c r="B405">
        <v>1001</v>
      </c>
      <c r="C405" t="s">
        <v>145</v>
      </c>
      <c r="D405" s="18">
        <v>24833.599999999999</v>
      </c>
    </row>
    <row r="406" spans="1:4" x14ac:dyDescent="0.45">
      <c r="A406" s="25">
        <v>43435</v>
      </c>
      <c r="B406">
        <v>1001</v>
      </c>
      <c r="C406" t="s">
        <v>145</v>
      </c>
      <c r="D406" s="18">
        <v>8307.4750000000004</v>
      </c>
    </row>
    <row r="407" spans="1:4" x14ac:dyDescent="0.45">
      <c r="A407" s="25">
        <v>43435</v>
      </c>
      <c r="B407">
        <v>1001</v>
      </c>
      <c r="C407" t="s">
        <v>97</v>
      </c>
      <c r="D407" s="18">
        <v>12809.5</v>
      </c>
    </row>
    <row r="408" spans="1:4" x14ac:dyDescent="0.45">
      <c r="A408" s="25">
        <v>43435</v>
      </c>
      <c r="B408">
        <v>1001</v>
      </c>
      <c r="C408" t="s">
        <v>97</v>
      </c>
      <c r="D408" s="18">
        <v>9041.4500000000007</v>
      </c>
    </row>
    <row r="409" spans="1:4" x14ac:dyDescent="0.45">
      <c r="A409" s="25">
        <v>43435</v>
      </c>
      <c r="B409">
        <v>1001</v>
      </c>
      <c r="C409" t="s">
        <v>97</v>
      </c>
      <c r="D409" s="18">
        <v>46665.85</v>
      </c>
    </row>
    <row r="410" spans="1:4" x14ac:dyDescent="0.45">
      <c r="A410" s="25">
        <v>43435</v>
      </c>
      <c r="B410">
        <v>1001</v>
      </c>
      <c r="C410" t="s">
        <v>97</v>
      </c>
      <c r="D410" s="18">
        <v>22575.575000000001</v>
      </c>
    </row>
    <row r="411" spans="1:4" x14ac:dyDescent="0.45">
      <c r="A411" s="25">
        <v>43435</v>
      </c>
      <c r="B411">
        <v>1001</v>
      </c>
      <c r="C411" t="s">
        <v>97</v>
      </c>
      <c r="D411" s="18">
        <v>40864.175000000003</v>
      </c>
    </row>
    <row r="412" spans="1:4" x14ac:dyDescent="0.45">
      <c r="A412" s="25">
        <v>43435</v>
      </c>
      <c r="B412">
        <v>1001</v>
      </c>
      <c r="C412" t="s">
        <v>97</v>
      </c>
      <c r="D412" s="18">
        <v>41747.75</v>
      </c>
    </row>
    <row r="413" spans="1:4" x14ac:dyDescent="0.45">
      <c r="A413" s="25">
        <v>43435</v>
      </c>
      <c r="B413">
        <v>1001</v>
      </c>
      <c r="C413" t="s">
        <v>97</v>
      </c>
      <c r="D413" s="18">
        <v>39690.75</v>
      </c>
    </row>
    <row r="414" spans="1:4" x14ac:dyDescent="0.45">
      <c r="A414" s="25">
        <v>43435</v>
      </c>
      <c r="B414">
        <v>1002</v>
      </c>
      <c r="C414" t="s">
        <v>104</v>
      </c>
      <c r="D414" s="18">
        <v>12201.75</v>
      </c>
    </row>
    <row r="415" spans="1:4" x14ac:dyDescent="0.45">
      <c r="A415" s="25">
        <v>43435</v>
      </c>
      <c r="B415">
        <v>1002</v>
      </c>
      <c r="C415" t="s">
        <v>104</v>
      </c>
      <c r="D415" s="18">
        <v>21275.924999999999</v>
      </c>
    </row>
    <row r="416" spans="1:4" x14ac:dyDescent="0.45">
      <c r="A416" s="25">
        <v>43435</v>
      </c>
      <c r="B416">
        <v>1002</v>
      </c>
      <c r="C416" t="s">
        <v>104</v>
      </c>
      <c r="D416" s="18">
        <v>33094.324999999997</v>
      </c>
    </row>
    <row r="417" spans="1:4" x14ac:dyDescent="0.45">
      <c r="A417" s="25">
        <v>43435</v>
      </c>
      <c r="B417">
        <v>1002</v>
      </c>
      <c r="C417" t="s">
        <v>104</v>
      </c>
      <c r="D417" s="18">
        <v>37021.324999999997</v>
      </c>
    </row>
    <row r="418" spans="1:4" x14ac:dyDescent="0.45">
      <c r="A418" s="25">
        <v>43435</v>
      </c>
      <c r="B418">
        <v>1002</v>
      </c>
      <c r="C418" t="s">
        <v>104</v>
      </c>
      <c r="D418" s="18">
        <v>43150.25</v>
      </c>
    </row>
    <row r="419" spans="1:4" x14ac:dyDescent="0.45">
      <c r="A419" s="25">
        <v>43435</v>
      </c>
      <c r="B419">
        <v>1001</v>
      </c>
      <c r="C419" t="s">
        <v>97</v>
      </c>
      <c r="D419" s="18">
        <v>29391.724999999999</v>
      </c>
    </row>
    <row r="420" spans="1:4" x14ac:dyDescent="0.45">
      <c r="A420" s="25">
        <v>43435</v>
      </c>
      <c r="B420">
        <v>1001</v>
      </c>
      <c r="C420" t="s">
        <v>97</v>
      </c>
      <c r="D420" s="18">
        <v>5469.75</v>
      </c>
    </row>
    <row r="421" spans="1:4" x14ac:dyDescent="0.45">
      <c r="A421" s="25">
        <v>43435</v>
      </c>
      <c r="B421">
        <v>1002</v>
      </c>
      <c r="C421" t="s">
        <v>104</v>
      </c>
      <c r="D421" s="18">
        <v>33056.925000000003</v>
      </c>
    </row>
    <row r="422" spans="1:4" x14ac:dyDescent="0.45">
      <c r="A422" s="25">
        <v>43435</v>
      </c>
      <c r="B422">
        <v>1001</v>
      </c>
      <c r="C422" t="s">
        <v>145</v>
      </c>
      <c r="D422" s="18">
        <v>43846.824999999997</v>
      </c>
    </row>
    <row r="423" spans="1:4" x14ac:dyDescent="0.45">
      <c r="A423" s="25">
        <v>43435</v>
      </c>
      <c r="B423">
        <v>1001</v>
      </c>
      <c r="C423" t="s">
        <v>97</v>
      </c>
      <c r="D423" s="18">
        <v>24235.200000000001</v>
      </c>
    </row>
    <row r="424" spans="1:4" x14ac:dyDescent="0.45">
      <c r="A424" s="25">
        <v>43435</v>
      </c>
      <c r="B424">
        <v>1002</v>
      </c>
      <c r="C424" t="s">
        <v>104</v>
      </c>
      <c r="D424" s="18">
        <v>2183.2249999999999</v>
      </c>
    </row>
    <row r="425" spans="1:4" x14ac:dyDescent="0.45">
      <c r="A425" s="25">
        <v>43435</v>
      </c>
      <c r="B425">
        <v>1002</v>
      </c>
      <c r="C425" t="s">
        <v>104</v>
      </c>
      <c r="D425" s="18">
        <v>39989.949999999997</v>
      </c>
    </row>
    <row r="426" spans="1:4" x14ac:dyDescent="0.45">
      <c r="A426" s="25">
        <v>43435</v>
      </c>
      <c r="B426">
        <v>1001</v>
      </c>
      <c r="C426" t="s">
        <v>97</v>
      </c>
      <c r="D426" s="18">
        <v>3997.125</v>
      </c>
    </row>
    <row r="427" spans="1:4" x14ac:dyDescent="0.45">
      <c r="A427" s="25">
        <v>43435</v>
      </c>
      <c r="B427">
        <v>1001</v>
      </c>
      <c r="C427" t="s">
        <v>97</v>
      </c>
      <c r="D427" s="18">
        <v>46679.875</v>
      </c>
    </row>
    <row r="428" spans="1:4" x14ac:dyDescent="0.45">
      <c r="A428" s="25">
        <v>43435</v>
      </c>
      <c r="B428">
        <v>1001</v>
      </c>
      <c r="C428" t="s">
        <v>145</v>
      </c>
      <c r="D428" s="18">
        <v>37731.925000000003</v>
      </c>
    </row>
    <row r="429" spans="1:4" x14ac:dyDescent="0.45">
      <c r="A429" s="25">
        <v>43435</v>
      </c>
      <c r="B429">
        <v>1002</v>
      </c>
      <c r="C429" t="s">
        <v>104</v>
      </c>
      <c r="D429" s="18">
        <v>46226.400000000001</v>
      </c>
    </row>
    <row r="430" spans="1:4" x14ac:dyDescent="0.45">
      <c r="A430" s="25">
        <v>43435</v>
      </c>
      <c r="B430">
        <v>1001</v>
      </c>
      <c r="C430" t="s">
        <v>97</v>
      </c>
      <c r="D430" s="18">
        <v>11565.95</v>
      </c>
    </row>
    <row r="431" spans="1:4" x14ac:dyDescent="0.45">
      <c r="A431" s="25">
        <v>43435</v>
      </c>
      <c r="B431">
        <v>1001</v>
      </c>
      <c r="C431" t="s">
        <v>97</v>
      </c>
      <c r="D431" s="18">
        <v>15291.924999999999</v>
      </c>
    </row>
    <row r="432" spans="1:4" x14ac:dyDescent="0.45">
      <c r="A432" s="25">
        <v>43435</v>
      </c>
      <c r="B432">
        <v>1001</v>
      </c>
      <c r="C432" t="s">
        <v>97</v>
      </c>
      <c r="D432" s="18">
        <v>1748.45</v>
      </c>
    </row>
    <row r="433" spans="1:4" x14ac:dyDescent="0.45">
      <c r="A433" s="25">
        <v>43435</v>
      </c>
      <c r="B433">
        <v>1001</v>
      </c>
      <c r="C433" t="s">
        <v>145</v>
      </c>
      <c r="D433" s="18">
        <v>22070.674999999999</v>
      </c>
    </row>
    <row r="434" spans="1:4" x14ac:dyDescent="0.45">
      <c r="A434" s="25">
        <v>43435</v>
      </c>
      <c r="B434">
        <v>1001</v>
      </c>
      <c r="C434" t="s">
        <v>97</v>
      </c>
      <c r="D434" s="18">
        <v>16236.275</v>
      </c>
    </row>
    <row r="435" spans="1:4" x14ac:dyDescent="0.45">
      <c r="A435" s="25">
        <v>43435</v>
      </c>
      <c r="B435">
        <v>1001</v>
      </c>
      <c r="C435" t="s">
        <v>97</v>
      </c>
      <c r="D435" s="18">
        <v>13328.424999999999</v>
      </c>
    </row>
    <row r="436" spans="1:4" x14ac:dyDescent="0.45">
      <c r="A436" s="25">
        <v>43435</v>
      </c>
      <c r="B436">
        <v>1001</v>
      </c>
      <c r="C436" t="s">
        <v>97</v>
      </c>
      <c r="D436" s="18">
        <v>2099.0749999999998</v>
      </c>
    </row>
    <row r="437" spans="1:4" x14ac:dyDescent="0.45">
      <c r="A437" s="25">
        <v>43435</v>
      </c>
      <c r="B437">
        <v>1002</v>
      </c>
      <c r="C437" t="s">
        <v>104</v>
      </c>
      <c r="D437" s="18">
        <v>29087.85</v>
      </c>
    </row>
    <row r="438" spans="1:4" x14ac:dyDescent="0.45">
      <c r="A438" s="25">
        <v>43435</v>
      </c>
      <c r="B438">
        <v>1002</v>
      </c>
      <c r="C438" t="s">
        <v>104</v>
      </c>
      <c r="D438" s="18">
        <v>32374.375</v>
      </c>
    </row>
    <row r="439" spans="1:4" x14ac:dyDescent="0.45">
      <c r="A439" s="25">
        <v>43435</v>
      </c>
      <c r="B439">
        <v>1001</v>
      </c>
      <c r="C439" t="s">
        <v>97</v>
      </c>
      <c r="D439" s="18">
        <v>21037.5</v>
      </c>
    </row>
    <row r="440" spans="1:4" x14ac:dyDescent="0.45">
      <c r="A440" s="22"/>
    </row>
    <row r="441" spans="1:4" x14ac:dyDescent="0.45">
      <c r="A441" s="22"/>
    </row>
    <row r="442" spans="1:4" x14ac:dyDescent="0.45">
      <c r="A442" s="22"/>
    </row>
    <row r="443" spans="1:4" x14ac:dyDescent="0.45">
      <c r="A443" s="22"/>
    </row>
    <row r="444" spans="1:4" x14ac:dyDescent="0.45">
      <c r="A444" s="22"/>
    </row>
    <row r="445" spans="1:4" x14ac:dyDescent="0.45">
      <c r="A445" s="22"/>
    </row>
    <row r="446" spans="1:4" x14ac:dyDescent="0.45">
      <c r="A446" s="22"/>
    </row>
    <row r="447" spans="1:4" x14ac:dyDescent="0.45">
      <c r="A447" s="22"/>
    </row>
    <row r="448" spans="1:4" x14ac:dyDescent="0.45">
      <c r="A448" s="22"/>
    </row>
    <row r="449" spans="1:1" x14ac:dyDescent="0.45">
      <c r="A449" s="22"/>
    </row>
    <row r="450" spans="1:1" x14ac:dyDescent="0.45">
      <c r="A450" s="22"/>
    </row>
    <row r="451" spans="1:1" x14ac:dyDescent="0.45">
      <c r="A451" s="22"/>
    </row>
    <row r="452" spans="1:1" x14ac:dyDescent="0.45">
      <c r="A452" s="22"/>
    </row>
    <row r="453" spans="1:1" x14ac:dyDescent="0.45">
      <c r="A453" s="22"/>
    </row>
    <row r="454" spans="1:1" x14ac:dyDescent="0.45">
      <c r="A454" s="22"/>
    </row>
    <row r="455" spans="1:1" x14ac:dyDescent="0.45">
      <c r="A455" s="22"/>
    </row>
    <row r="456" spans="1:1" x14ac:dyDescent="0.45">
      <c r="A456" s="22"/>
    </row>
    <row r="457" spans="1:1" x14ac:dyDescent="0.45">
      <c r="A457" s="22"/>
    </row>
    <row r="458" spans="1:1" x14ac:dyDescent="0.45">
      <c r="A458" s="22"/>
    </row>
    <row r="459" spans="1:1" x14ac:dyDescent="0.45">
      <c r="A459" s="22"/>
    </row>
    <row r="460" spans="1:1" x14ac:dyDescent="0.45">
      <c r="A460" s="22"/>
    </row>
    <row r="461" spans="1:1" x14ac:dyDescent="0.45">
      <c r="A461" s="22"/>
    </row>
    <row r="462" spans="1:1" x14ac:dyDescent="0.45">
      <c r="A462" s="22"/>
    </row>
    <row r="463" spans="1:1" x14ac:dyDescent="0.45">
      <c r="A463" s="22"/>
    </row>
    <row r="464" spans="1:1" x14ac:dyDescent="0.45">
      <c r="A464" s="22"/>
    </row>
    <row r="465" spans="1:1" x14ac:dyDescent="0.45">
      <c r="A465" s="22"/>
    </row>
    <row r="466" spans="1:1" x14ac:dyDescent="0.45">
      <c r="A466" s="22"/>
    </row>
    <row r="467" spans="1:1" x14ac:dyDescent="0.45">
      <c r="A467" s="22"/>
    </row>
    <row r="468" spans="1:1" x14ac:dyDescent="0.45">
      <c r="A468" s="22"/>
    </row>
    <row r="469" spans="1:1" x14ac:dyDescent="0.45">
      <c r="A469" s="22"/>
    </row>
    <row r="470" spans="1:1" x14ac:dyDescent="0.45">
      <c r="A470" s="22"/>
    </row>
    <row r="471" spans="1:1" x14ac:dyDescent="0.45">
      <c r="A471" s="22"/>
    </row>
    <row r="472" spans="1:1" x14ac:dyDescent="0.45">
      <c r="A472" s="22"/>
    </row>
    <row r="473" spans="1:1" x14ac:dyDescent="0.45">
      <c r="A473" s="22"/>
    </row>
    <row r="474" spans="1:1" x14ac:dyDescent="0.45">
      <c r="A474" s="22"/>
    </row>
    <row r="475" spans="1:1" x14ac:dyDescent="0.45">
      <c r="A475" s="22"/>
    </row>
    <row r="476" spans="1:1" x14ac:dyDescent="0.45">
      <c r="A476" s="22"/>
    </row>
    <row r="477" spans="1:1" x14ac:dyDescent="0.45">
      <c r="A477" s="22"/>
    </row>
    <row r="478" spans="1:1" x14ac:dyDescent="0.45">
      <c r="A478" s="22"/>
    </row>
    <row r="479" spans="1:1" x14ac:dyDescent="0.45">
      <c r="A479" s="22"/>
    </row>
    <row r="480" spans="1:1" x14ac:dyDescent="0.45">
      <c r="A480" s="22"/>
    </row>
    <row r="481" spans="1:1" x14ac:dyDescent="0.45">
      <c r="A481" s="22"/>
    </row>
    <row r="482" spans="1:1" x14ac:dyDescent="0.45">
      <c r="A482" s="22"/>
    </row>
    <row r="483" spans="1:1" x14ac:dyDescent="0.45">
      <c r="A483" s="22"/>
    </row>
    <row r="484" spans="1:1" x14ac:dyDescent="0.45">
      <c r="A484" s="22"/>
    </row>
    <row r="485" spans="1:1" x14ac:dyDescent="0.45">
      <c r="A485" s="22"/>
    </row>
    <row r="486" spans="1:1" x14ac:dyDescent="0.45">
      <c r="A486" s="22"/>
    </row>
    <row r="487" spans="1:1" x14ac:dyDescent="0.45">
      <c r="A487" s="22"/>
    </row>
    <row r="488" spans="1:1" x14ac:dyDescent="0.45">
      <c r="A488" s="22"/>
    </row>
    <row r="489" spans="1:1" x14ac:dyDescent="0.45">
      <c r="A489" s="22"/>
    </row>
    <row r="490" spans="1:1" x14ac:dyDescent="0.45">
      <c r="A490" s="22"/>
    </row>
    <row r="491" spans="1:1" x14ac:dyDescent="0.45">
      <c r="A491" s="22"/>
    </row>
    <row r="492" spans="1:1" x14ac:dyDescent="0.45">
      <c r="A492" s="22"/>
    </row>
    <row r="493" spans="1:1" x14ac:dyDescent="0.45">
      <c r="A493" s="22"/>
    </row>
    <row r="494" spans="1:1" x14ac:dyDescent="0.45">
      <c r="A494" s="22"/>
    </row>
    <row r="495" spans="1:1" x14ac:dyDescent="0.45">
      <c r="A495" s="22"/>
    </row>
    <row r="496" spans="1:1" x14ac:dyDescent="0.45">
      <c r="A496" s="22"/>
    </row>
    <row r="497" spans="1:1" x14ac:dyDescent="0.45">
      <c r="A497" s="22"/>
    </row>
    <row r="498" spans="1:1" x14ac:dyDescent="0.45">
      <c r="A498" s="22"/>
    </row>
    <row r="499" spans="1:1" x14ac:dyDescent="0.45">
      <c r="A499" s="22"/>
    </row>
    <row r="500" spans="1:1" x14ac:dyDescent="0.45">
      <c r="A500" s="22"/>
    </row>
    <row r="501" spans="1:1" x14ac:dyDescent="0.45">
      <c r="A501" s="22"/>
    </row>
    <row r="502" spans="1:1" x14ac:dyDescent="0.45">
      <c r="A502" s="22"/>
    </row>
    <row r="503" spans="1:1" x14ac:dyDescent="0.45">
      <c r="A503" s="22"/>
    </row>
    <row r="504" spans="1:1" x14ac:dyDescent="0.45">
      <c r="A504" s="22"/>
    </row>
    <row r="505" spans="1:1" x14ac:dyDescent="0.45">
      <c r="A505" s="22"/>
    </row>
    <row r="506" spans="1:1" x14ac:dyDescent="0.45">
      <c r="A506" s="22"/>
    </row>
    <row r="507" spans="1:1" x14ac:dyDescent="0.45">
      <c r="A507" s="22"/>
    </row>
    <row r="508" spans="1:1" x14ac:dyDescent="0.45">
      <c r="A508" s="22"/>
    </row>
    <row r="509" spans="1:1" x14ac:dyDescent="0.45">
      <c r="A509" s="22"/>
    </row>
    <row r="510" spans="1:1" x14ac:dyDescent="0.45">
      <c r="A510" s="22"/>
    </row>
    <row r="511" spans="1:1" x14ac:dyDescent="0.45">
      <c r="A511" s="22"/>
    </row>
    <row r="512" spans="1:1" x14ac:dyDescent="0.45">
      <c r="A512" s="22"/>
    </row>
    <row r="513" spans="1:1" x14ac:dyDescent="0.45">
      <c r="A513" s="22"/>
    </row>
    <row r="514" spans="1:1" x14ac:dyDescent="0.45">
      <c r="A514" s="22"/>
    </row>
    <row r="515" spans="1:1" x14ac:dyDescent="0.45">
      <c r="A515" s="22"/>
    </row>
    <row r="516" spans="1:1" x14ac:dyDescent="0.45">
      <c r="A516" s="22"/>
    </row>
    <row r="517" spans="1:1" x14ac:dyDescent="0.45">
      <c r="A517" s="22"/>
    </row>
    <row r="518" spans="1:1" x14ac:dyDescent="0.45">
      <c r="A518" s="22"/>
    </row>
    <row r="519" spans="1:1" x14ac:dyDescent="0.45">
      <c r="A519" s="22"/>
    </row>
    <row r="520" spans="1:1" x14ac:dyDescent="0.45">
      <c r="A520" s="22"/>
    </row>
    <row r="521" spans="1:1" x14ac:dyDescent="0.45">
      <c r="A521" s="22"/>
    </row>
    <row r="522" spans="1:1" x14ac:dyDescent="0.45">
      <c r="A522" s="22"/>
    </row>
    <row r="523" spans="1:1" x14ac:dyDescent="0.45">
      <c r="A523" s="22"/>
    </row>
    <row r="524" spans="1:1" x14ac:dyDescent="0.45">
      <c r="A524" s="22"/>
    </row>
    <row r="525" spans="1:1" x14ac:dyDescent="0.45">
      <c r="A525" s="22"/>
    </row>
    <row r="526" spans="1:1" x14ac:dyDescent="0.45">
      <c r="A526" s="22"/>
    </row>
    <row r="527" spans="1:1" x14ac:dyDescent="0.45">
      <c r="A527" s="22"/>
    </row>
    <row r="528" spans="1:1" x14ac:dyDescent="0.45">
      <c r="A528" s="22"/>
    </row>
    <row r="529" spans="1:1" x14ac:dyDescent="0.45">
      <c r="A529" s="22"/>
    </row>
    <row r="530" spans="1:1" x14ac:dyDescent="0.45">
      <c r="A530" s="22"/>
    </row>
    <row r="531" spans="1:1" x14ac:dyDescent="0.45">
      <c r="A531" s="22"/>
    </row>
    <row r="532" spans="1:1" x14ac:dyDescent="0.45">
      <c r="A532" s="22"/>
    </row>
    <row r="533" spans="1:1" x14ac:dyDescent="0.45">
      <c r="A533" s="22"/>
    </row>
    <row r="534" spans="1:1" x14ac:dyDescent="0.45">
      <c r="A534" s="22"/>
    </row>
    <row r="535" spans="1:1" x14ac:dyDescent="0.45">
      <c r="A535" s="22"/>
    </row>
    <row r="536" spans="1:1" x14ac:dyDescent="0.45">
      <c r="A536" s="22"/>
    </row>
    <row r="537" spans="1:1" x14ac:dyDescent="0.45">
      <c r="A537" s="22"/>
    </row>
    <row r="538" spans="1:1" x14ac:dyDescent="0.45">
      <c r="A538" s="22"/>
    </row>
    <row r="539" spans="1:1" x14ac:dyDescent="0.45">
      <c r="A539" s="22"/>
    </row>
    <row r="540" spans="1:1" x14ac:dyDescent="0.45">
      <c r="A540" s="22"/>
    </row>
    <row r="541" spans="1:1" x14ac:dyDescent="0.45">
      <c r="A541" s="22"/>
    </row>
    <row r="542" spans="1:1" x14ac:dyDescent="0.45">
      <c r="A542" s="22"/>
    </row>
    <row r="543" spans="1:1" x14ac:dyDescent="0.45">
      <c r="A543" s="22"/>
    </row>
    <row r="544" spans="1:1" x14ac:dyDescent="0.45">
      <c r="A544" s="22"/>
    </row>
    <row r="545" spans="1:1" x14ac:dyDescent="0.45">
      <c r="A545" s="22"/>
    </row>
    <row r="546" spans="1:1" x14ac:dyDescent="0.45">
      <c r="A546" s="22"/>
    </row>
    <row r="547" spans="1:1" x14ac:dyDescent="0.45">
      <c r="A547" s="22"/>
    </row>
    <row r="548" spans="1:1" x14ac:dyDescent="0.45">
      <c r="A548" s="22"/>
    </row>
    <row r="549" spans="1:1" x14ac:dyDescent="0.45">
      <c r="A549" s="22"/>
    </row>
    <row r="550" spans="1:1" x14ac:dyDescent="0.45">
      <c r="A550" s="22"/>
    </row>
    <row r="551" spans="1:1" x14ac:dyDescent="0.45">
      <c r="A551" s="22"/>
    </row>
    <row r="552" spans="1:1" x14ac:dyDescent="0.45">
      <c r="A552" s="22"/>
    </row>
    <row r="553" spans="1:1" x14ac:dyDescent="0.45">
      <c r="A553" s="22"/>
    </row>
    <row r="554" spans="1:1" x14ac:dyDescent="0.45">
      <c r="A554" s="22"/>
    </row>
    <row r="555" spans="1:1" x14ac:dyDescent="0.45">
      <c r="A555" s="22"/>
    </row>
    <row r="556" spans="1:1" x14ac:dyDescent="0.45">
      <c r="A556" s="22"/>
    </row>
    <row r="557" spans="1:1" x14ac:dyDescent="0.45">
      <c r="A557" s="22"/>
    </row>
    <row r="558" spans="1:1" x14ac:dyDescent="0.45">
      <c r="A558" s="22"/>
    </row>
    <row r="559" spans="1:1" x14ac:dyDescent="0.45">
      <c r="A559" s="22"/>
    </row>
    <row r="560" spans="1:1" x14ac:dyDescent="0.45">
      <c r="A560" s="22"/>
    </row>
    <row r="561" spans="1:1" x14ac:dyDescent="0.45">
      <c r="A561" s="22"/>
    </row>
    <row r="562" spans="1:1" x14ac:dyDescent="0.45">
      <c r="A562" s="22"/>
    </row>
    <row r="563" spans="1:1" x14ac:dyDescent="0.45">
      <c r="A563" s="22"/>
    </row>
    <row r="564" spans="1:1" x14ac:dyDescent="0.45">
      <c r="A564" s="22"/>
    </row>
    <row r="565" spans="1:1" x14ac:dyDescent="0.45">
      <c r="A565" s="22"/>
    </row>
    <row r="566" spans="1:1" x14ac:dyDescent="0.45">
      <c r="A566" s="22"/>
    </row>
    <row r="567" spans="1:1" x14ac:dyDescent="0.45">
      <c r="A567" s="22"/>
    </row>
    <row r="568" spans="1:1" x14ac:dyDescent="0.45">
      <c r="A568" s="22"/>
    </row>
    <row r="569" spans="1:1" x14ac:dyDescent="0.45">
      <c r="A569" s="22"/>
    </row>
    <row r="570" spans="1:1" x14ac:dyDescent="0.45">
      <c r="A570" s="22"/>
    </row>
    <row r="571" spans="1:1" x14ac:dyDescent="0.45">
      <c r="A571" s="22"/>
    </row>
    <row r="572" spans="1:1" x14ac:dyDescent="0.45">
      <c r="A572" s="22"/>
    </row>
    <row r="573" spans="1:1" x14ac:dyDescent="0.45">
      <c r="A573" s="22"/>
    </row>
    <row r="574" spans="1:1" x14ac:dyDescent="0.45">
      <c r="A574" s="22"/>
    </row>
    <row r="575" spans="1:1" x14ac:dyDescent="0.45">
      <c r="A575" s="22"/>
    </row>
    <row r="576" spans="1:1" x14ac:dyDescent="0.45">
      <c r="A576" s="22"/>
    </row>
    <row r="577" spans="1:1" x14ac:dyDescent="0.45">
      <c r="A577" s="22"/>
    </row>
    <row r="578" spans="1:1" x14ac:dyDescent="0.45">
      <c r="A578" s="22"/>
    </row>
    <row r="579" spans="1:1" x14ac:dyDescent="0.45">
      <c r="A579" s="22"/>
    </row>
    <row r="580" spans="1:1" x14ac:dyDescent="0.45">
      <c r="A580" s="22"/>
    </row>
    <row r="581" spans="1:1" x14ac:dyDescent="0.45">
      <c r="A581" s="22"/>
    </row>
    <row r="582" spans="1:1" x14ac:dyDescent="0.45">
      <c r="A582" s="22"/>
    </row>
    <row r="583" spans="1:1" x14ac:dyDescent="0.45">
      <c r="A583" s="22"/>
    </row>
    <row r="584" spans="1:1" x14ac:dyDescent="0.45">
      <c r="A584" s="22"/>
    </row>
    <row r="585" spans="1:1" x14ac:dyDescent="0.45">
      <c r="A585" s="22"/>
    </row>
    <row r="586" spans="1:1" x14ac:dyDescent="0.45">
      <c r="A586" s="22"/>
    </row>
    <row r="587" spans="1:1" x14ac:dyDescent="0.45">
      <c r="A587" s="22"/>
    </row>
    <row r="588" spans="1:1" x14ac:dyDescent="0.45">
      <c r="A588" s="22"/>
    </row>
    <row r="589" spans="1:1" x14ac:dyDescent="0.45">
      <c r="A589" s="22"/>
    </row>
    <row r="590" spans="1:1" x14ac:dyDescent="0.45">
      <c r="A590" s="22"/>
    </row>
    <row r="591" spans="1:1" x14ac:dyDescent="0.45">
      <c r="A591" s="22"/>
    </row>
    <row r="592" spans="1:1" x14ac:dyDescent="0.45">
      <c r="A592" s="22"/>
    </row>
    <row r="593" spans="1:1" x14ac:dyDescent="0.45">
      <c r="A593" s="22"/>
    </row>
    <row r="594" spans="1:1" x14ac:dyDescent="0.45">
      <c r="A594" s="22"/>
    </row>
    <row r="595" spans="1:1" x14ac:dyDescent="0.45">
      <c r="A595" s="22"/>
    </row>
    <row r="596" spans="1:1" x14ac:dyDescent="0.45">
      <c r="A596" s="22"/>
    </row>
    <row r="597" spans="1:1" x14ac:dyDescent="0.45">
      <c r="A597" s="22"/>
    </row>
    <row r="598" spans="1:1" x14ac:dyDescent="0.45">
      <c r="A598" s="22"/>
    </row>
    <row r="599" spans="1:1" x14ac:dyDescent="0.45">
      <c r="A599" s="22"/>
    </row>
    <row r="600" spans="1:1" x14ac:dyDescent="0.45">
      <c r="A600" s="22"/>
    </row>
    <row r="601" spans="1:1" x14ac:dyDescent="0.45">
      <c r="A601" s="22"/>
    </row>
    <row r="602" spans="1:1" x14ac:dyDescent="0.45">
      <c r="A602" s="22"/>
    </row>
    <row r="603" spans="1:1" x14ac:dyDescent="0.45">
      <c r="A603" s="22"/>
    </row>
    <row r="604" spans="1:1" x14ac:dyDescent="0.45">
      <c r="A604" s="22"/>
    </row>
    <row r="605" spans="1:1" x14ac:dyDescent="0.45">
      <c r="A605" s="22"/>
    </row>
    <row r="606" spans="1:1" x14ac:dyDescent="0.45">
      <c r="A606" s="22"/>
    </row>
    <row r="607" spans="1:1" x14ac:dyDescent="0.45">
      <c r="A607" s="22"/>
    </row>
    <row r="608" spans="1:1" x14ac:dyDescent="0.45">
      <c r="A608" s="22"/>
    </row>
    <row r="609" spans="1:1" x14ac:dyDescent="0.45">
      <c r="A609" s="22"/>
    </row>
    <row r="610" spans="1:1" x14ac:dyDescent="0.45">
      <c r="A610" s="22"/>
    </row>
    <row r="611" spans="1:1" x14ac:dyDescent="0.45">
      <c r="A611" s="22"/>
    </row>
    <row r="612" spans="1:1" x14ac:dyDescent="0.45">
      <c r="A612" s="22"/>
    </row>
    <row r="613" spans="1:1" x14ac:dyDescent="0.45">
      <c r="A613" s="22"/>
    </row>
    <row r="614" spans="1:1" x14ac:dyDescent="0.45">
      <c r="A614" s="22"/>
    </row>
    <row r="615" spans="1:1" x14ac:dyDescent="0.45">
      <c r="A615" s="22"/>
    </row>
    <row r="616" spans="1:1" x14ac:dyDescent="0.45">
      <c r="A616" s="22"/>
    </row>
    <row r="617" spans="1:1" x14ac:dyDescent="0.45">
      <c r="A617" s="22"/>
    </row>
    <row r="618" spans="1:1" x14ac:dyDescent="0.45">
      <c r="A618" s="22"/>
    </row>
    <row r="619" spans="1:1" x14ac:dyDescent="0.45">
      <c r="A619" s="22"/>
    </row>
    <row r="620" spans="1:1" x14ac:dyDescent="0.45">
      <c r="A620" s="22"/>
    </row>
    <row r="621" spans="1:1" x14ac:dyDescent="0.45">
      <c r="A621" s="22"/>
    </row>
    <row r="622" spans="1:1" x14ac:dyDescent="0.45">
      <c r="A622" s="22"/>
    </row>
    <row r="623" spans="1:1" x14ac:dyDescent="0.45">
      <c r="A623" s="22"/>
    </row>
    <row r="624" spans="1:1" x14ac:dyDescent="0.45">
      <c r="A624" s="22"/>
    </row>
    <row r="625" spans="1:1" x14ac:dyDescent="0.45">
      <c r="A625" s="22"/>
    </row>
    <row r="626" spans="1:1" x14ac:dyDescent="0.45">
      <c r="A626" s="22"/>
    </row>
    <row r="627" spans="1:1" x14ac:dyDescent="0.45">
      <c r="A627" s="22"/>
    </row>
    <row r="628" spans="1:1" x14ac:dyDescent="0.45">
      <c r="A628" s="22"/>
    </row>
    <row r="629" spans="1:1" x14ac:dyDescent="0.45">
      <c r="A629" s="22"/>
    </row>
    <row r="630" spans="1:1" x14ac:dyDescent="0.45">
      <c r="A630" s="22"/>
    </row>
    <row r="631" spans="1:1" x14ac:dyDescent="0.45">
      <c r="A631" s="22"/>
    </row>
    <row r="632" spans="1:1" x14ac:dyDescent="0.45">
      <c r="A632" s="22"/>
    </row>
    <row r="633" spans="1:1" x14ac:dyDescent="0.45">
      <c r="A633" s="22"/>
    </row>
    <row r="634" spans="1:1" x14ac:dyDescent="0.45">
      <c r="A634" s="22"/>
    </row>
    <row r="635" spans="1:1" x14ac:dyDescent="0.45">
      <c r="A635" s="22"/>
    </row>
    <row r="636" spans="1:1" x14ac:dyDescent="0.45">
      <c r="A636" s="22"/>
    </row>
    <row r="637" spans="1:1" x14ac:dyDescent="0.45">
      <c r="A637" s="22"/>
    </row>
    <row r="638" spans="1:1" x14ac:dyDescent="0.45">
      <c r="A638" s="22"/>
    </row>
    <row r="639" spans="1:1" x14ac:dyDescent="0.45">
      <c r="A639" s="22"/>
    </row>
    <row r="640" spans="1:1" x14ac:dyDescent="0.45">
      <c r="A640" s="22"/>
    </row>
    <row r="641" spans="1:1" x14ac:dyDescent="0.45">
      <c r="A641" s="22"/>
    </row>
    <row r="642" spans="1:1" x14ac:dyDescent="0.45">
      <c r="A642" s="22"/>
    </row>
    <row r="643" spans="1:1" x14ac:dyDescent="0.45">
      <c r="A643" s="22"/>
    </row>
    <row r="644" spans="1:1" x14ac:dyDescent="0.45">
      <c r="A644" s="22"/>
    </row>
    <row r="645" spans="1:1" x14ac:dyDescent="0.45">
      <c r="A645" s="22"/>
    </row>
    <row r="646" spans="1:1" x14ac:dyDescent="0.45">
      <c r="A646" s="22"/>
    </row>
    <row r="647" spans="1:1" x14ac:dyDescent="0.45">
      <c r="A647" s="22"/>
    </row>
    <row r="648" spans="1:1" x14ac:dyDescent="0.45">
      <c r="A648" s="22"/>
    </row>
    <row r="649" spans="1:1" x14ac:dyDescent="0.45">
      <c r="A649" s="22"/>
    </row>
    <row r="650" spans="1:1" x14ac:dyDescent="0.45">
      <c r="A650" s="22"/>
    </row>
    <row r="651" spans="1:1" x14ac:dyDescent="0.45">
      <c r="A651" s="22"/>
    </row>
    <row r="652" spans="1:1" x14ac:dyDescent="0.45">
      <c r="A652" s="22"/>
    </row>
    <row r="653" spans="1:1" x14ac:dyDescent="0.45">
      <c r="A653" s="22"/>
    </row>
    <row r="654" spans="1:1" x14ac:dyDescent="0.45">
      <c r="A654" s="22"/>
    </row>
    <row r="655" spans="1:1" x14ac:dyDescent="0.45">
      <c r="A655" s="22"/>
    </row>
    <row r="656" spans="1:1" x14ac:dyDescent="0.45">
      <c r="A656" s="22"/>
    </row>
    <row r="657" spans="1:1" x14ac:dyDescent="0.45">
      <c r="A657" s="22"/>
    </row>
    <row r="658" spans="1:1" x14ac:dyDescent="0.45">
      <c r="A658" s="22"/>
    </row>
    <row r="659" spans="1:1" x14ac:dyDescent="0.45">
      <c r="A659" s="22"/>
    </row>
    <row r="660" spans="1:1" x14ac:dyDescent="0.45">
      <c r="A660" s="22"/>
    </row>
    <row r="661" spans="1:1" x14ac:dyDescent="0.45">
      <c r="A661" s="22"/>
    </row>
    <row r="662" spans="1:1" x14ac:dyDescent="0.45">
      <c r="A662" s="22"/>
    </row>
    <row r="663" spans="1:1" x14ac:dyDescent="0.45">
      <c r="A663" s="22"/>
    </row>
    <row r="664" spans="1:1" x14ac:dyDescent="0.45">
      <c r="A664" s="22"/>
    </row>
    <row r="665" spans="1:1" x14ac:dyDescent="0.45">
      <c r="A665" s="22"/>
    </row>
    <row r="666" spans="1:1" x14ac:dyDescent="0.45">
      <c r="A666" s="22"/>
    </row>
    <row r="667" spans="1:1" x14ac:dyDescent="0.45">
      <c r="A667" s="22"/>
    </row>
    <row r="668" spans="1:1" x14ac:dyDescent="0.45">
      <c r="A668" s="22"/>
    </row>
    <row r="669" spans="1:1" x14ac:dyDescent="0.45">
      <c r="A669" s="22"/>
    </row>
    <row r="670" spans="1:1" x14ac:dyDescent="0.45">
      <c r="A670" s="22"/>
    </row>
    <row r="671" spans="1:1" x14ac:dyDescent="0.45">
      <c r="A671" s="22"/>
    </row>
    <row r="672" spans="1:1" x14ac:dyDescent="0.45">
      <c r="A672" s="22"/>
    </row>
    <row r="673" spans="1:1" x14ac:dyDescent="0.45">
      <c r="A673" s="22"/>
    </row>
    <row r="674" spans="1:1" x14ac:dyDescent="0.45">
      <c r="A674" s="22"/>
    </row>
    <row r="675" spans="1:1" x14ac:dyDescent="0.45">
      <c r="A675" s="22"/>
    </row>
    <row r="676" spans="1:1" x14ac:dyDescent="0.45">
      <c r="A676" s="22"/>
    </row>
    <row r="677" spans="1:1" x14ac:dyDescent="0.45">
      <c r="A677" s="22"/>
    </row>
    <row r="678" spans="1:1" x14ac:dyDescent="0.45">
      <c r="A678" s="22"/>
    </row>
    <row r="679" spans="1:1" x14ac:dyDescent="0.45">
      <c r="A679" s="22"/>
    </row>
    <row r="680" spans="1:1" x14ac:dyDescent="0.45">
      <c r="A680" s="22"/>
    </row>
    <row r="681" spans="1:1" x14ac:dyDescent="0.45">
      <c r="A681" s="22"/>
    </row>
    <row r="682" spans="1:1" x14ac:dyDescent="0.45">
      <c r="A682" s="22"/>
    </row>
    <row r="683" spans="1:1" x14ac:dyDescent="0.45">
      <c r="A683" s="22"/>
    </row>
    <row r="684" spans="1:1" x14ac:dyDescent="0.45">
      <c r="A684" s="22"/>
    </row>
    <row r="685" spans="1:1" x14ac:dyDescent="0.45">
      <c r="A685" s="22"/>
    </row>
    <row r="686" spans="1:1" x14ac:dyDescent="0.45">
      <c r="A686" s="22"/>
    </row>
    <row r="687" spans="1:1" x14ac:dyDescent="0.45">
      <c r="A687" s="22"/>
    </row>
    <row r="688" spans="1:1" x14ac:dyDescent="0.45">
      <c r="A688" s="22"/>
    </row>
    <row r="689" spans="1:1" x14ac:dyDescent="0.45">
      <c r="A689" s="22"/>
    </row>
    <row r="690" spans="1:1" x14ac:dyDescent="0.45">
      <c r="A690" s="22"/>
    </row>
    <row r="691" spans="1:1" x14ac:dyDescent="0.45">
      <c r="A691" s="22"/>
    </row>
    <row r="692" spans="1:1" x14ac:dyDescent="0.45">
      <c r="A692" s="22"/>
    </row>
    <row r="693" spans="1:1" x14ac:dyDescent="0.45">
      <c r="A693" s="22"/>
    </row>
    <row r="694" spans="1:1" x14ac:dyDescent="0.45">
      <c r="A694" s="22"/>
    </row>
    <row r="695" spans="1:1" x14ac:dyDescent="0.45">
      <c r="A695" s="22"/>
    </row>
    <row r="696" spans="1:1" x14ac:dyDescent="0.45">
      <c r="A696" s="22"/>
    </row>
    <row r="697" spans="1:1" x14ac:dyDescent="0.45">
      <c r="A697" s="22"/>
    </row>
    <row r="698" spans="1:1" x14ac:dyDescent="0.45">
      <c r="A698" s="22"/>
    </row>
    <row r="699" spans="1:1" x14ac:dyDescent="0.45">
      <c r="A699" s="22"/>
    </row>
    <row r="700" spans="1:1" x14ac:dyDescent="0.45">
      <c r="A700" s="22"/>
    </row>
    <row r="701" spans="1:1" x14ac:dyDescent="0.45">
      <c r="A701" s="22"/>
    </row>
    <row r="702" spans="1:1" x14ac:dyDescent="0.45">
      <c r="A702" s="22"/>
    </row>
    <row r="703" spans="1:1" x14ac:dyDescent="0.45">
      <c r="A703" s="22"/>
    </row>
    <row r="704" spans="1:1" x14ac:dyDescent="0.45">
      <c r="A704" s="22"/>
    </row>
    <row r="705" spans="1:1" x14ac:dyDescent="0.45">
      <c r="A705" s="22"/>
    </row>
    <row r="706" spans="1:1" x14ac:dyDescent="0.45">
      <c r="A706" s="22"/>
    </row>
    <row r="707" spans="1:1" x14ac:dyDescent="0.45">
      <c r="A707" s="22"/>
    </row>
    <row r="708" spans="1:1" x14ac:dyDescent="0.45">
      <c r="A708" s="22"/>
    </row>
    <row r="709" spans="1:1" x14ac:dyDescent="0.45">
      <c r="A709" s="22"/>
    </row>
    <row r="710" spans="1:1" x14ac:dyDescent="0.45">
      <c r="A710" s="22"/>
    </row>
    <row r="711" spans="1:1" x14ac:dyDescent="0.45">
      <c r="A711" s="22"/>
    </row>
    <row r="712" spans="1:1" x14ac:dyDescent="0.45">
      <c r="A712" s="22"/>
    </row>
    <row r="713" spans="1:1" x14ac:dyDescent="0.45">
      <c r="A713" s="22"/>
    </row>
    <row r="714" spans="1:1" x14ac:dyDescent="0.45">
      <c r="A714" s="22"/>
    </row>
    <row r="715" spans="1:1" x14ac:dyDescent="0.45">
      <c r="A715" s="22"/>
    </row>
    <row r="716" spans="1:1" x14ac:dyDescent="0.45">
      <c r="A716" s="22"/>
    </row>
    <row r="717" spans="1:1" x14ac:dyDescent="0.45">
      <c r="A717" s="22"/>
    </row>
    <row r="718" spans="1:1" x14ac:dyDescent="0.45">
      <c r="A718" s="22"/>
    </row>
    <row r="719" spans="1:1" x14ac:dyDescent="0.45">
      <c r="A719" s="22"/>
    </row>
    <row r="720" spans="1:1" x14ac:dyDescent="0.45">
      <c r="A720" s="22"/>
    </row>
    <row r="721" spans="1:1" x14ac:dyDescent="0.45">
      <c r="A721" s="22"/>
    </row>
    <row r="722" spans="1:1" x14ac:dyDescent="0.45">
      <c r="A722" s="22"/>
    </row>
    <row r="723" spans="1:1" x14ac:dyDescent="0.45">
      <c r="A723" s="22"/>
    </row>
    <row r="724" spans="1:1" x14ac:dyDescent="0.45">
      <c r="A724" s="22"/>
    </row>
    <row r="725" spans="1:1" x14ac:dyDescent="0.45">
      <c r="A725" s="22"/>
    </row>
    <row r="726" spans="1:1" x14ac:dyDescent="0.45">
      <c r="A726" s="22"/>
    </row>
    <row r="727" spans="1:1" x14ac:dyDescent="0.45">
      <c r="A727" s="22"/>
    </row>
    <row r="728" spans="1:1" x14ac:dyDescent="0.45">
      <c r="A728" s="22"/>
    </row>
    <row r="729" spans="1:1" x14ac:dyDescent="0.45">
      <c r="A729" s="22"/>
    </row>
    <row r="730" spans="1:1" x14ac:dyDescent="0.45">
      <c r="A730" s="22"/>
    </row>
    <row r="731" spans="1:1" x14ac:dyDescent="0.45">
      <c r="A731" s="22"/>
    </row>
    <row r="732" spans="1:1" x14ac:dyDescent="0.45">
      <c r="A732" s="22"/>
    </row>
    <row r="733" spans="1:1" x14ac:dyDescent="0.45">
      <c r="A733" s="22"/>
    </row>
    <row r="734" spans="1:1" x14ac:dyDescent="0.45">
      <c r="A734" s="22"/>
    </row>
    <row r="735" spans="1:1" x14ac:dyDescent="0.45">
      <c r="A735" s="22"/>
    </row>
    <row r="736" spans="1:1" x14ac:dyDescent="0.45">
      <c r="A736" s="22"/>
    </row>
    <row r="737" spans="1:1" x14ac:dyDescent="0.45">
      <c r="A737" s="22"/>
    </row>
    <row r="738" spans="1:1" x14ac:dyDescent="0.45">
      <c r="A738" s="22"/>
    </row>
    <row r="739" spans="1:1" x14ac:dyDescent="0.45">
      <c r="A739" s="22"/>
    </row>
    <row r="740" spans="1:1" x14ac:dyDescent="0.45">
      <c r="A740" s="22"/>
    </row>
    <row r="741" spans="1:1" x14ac:dyDescent="0.45">
      <c r="A741" s="22"/>
    </row>
    <row r="742" spans="1:1" x14ac:dyDescent="0.45">
      <c r="A742" s="22"/>
    </row>
    <row r="743" spans="1:1" x14ac:dyDescent="0.45">
      <c r="A743" s="22"/>
    </row>
    <row r="744" spans="1:1" x14ac:dyDescent="0.45">
      <c r="A744" s="22"/>
    </row>
    <row r="745" spans="1:1" x14ac:dyDescent="0.45">
      <c r="A745" s="22"/>
    </row>
    <row r="746" spans="1:1" x14ac:dyDescent="0.45">
      <c r="A746" s="22"/>
    </row>
    <row r="747" spans="1:1" x14ac:dyDescent="0.45">
      <c r="A747" s="22"/>
    </row>
    <row r="748" spans="1:1" x14ac:dyDescent="0.45">
      <c r="A748" s="22"/>
    </row>
    <row r="749" spans="1:1" x14ac:dyDescent="0.45">
      <c r="A749" s="22"/>
    </row>
    <row r="750" spans="1:1" x14ac:dyDescent="0.45">
      <c r="A750" s="22"/>
    </row>
    <row r="751" spans="1:1" x14ac:dyDescent="0.45">
      <c r="A751" s="22"/>
    </row>
    <row r="752" spans="1:1" x14ac:dyDescent="0.45">
      <c r="A752" s="22"/>
    </row>
    <row r="753" spans="1:1" x14ac:dyDescent="0.45">
      <c r="A753" s="22"/>
    </row>
    <row r="754" spans="1:1" x14ac:dyDescent="0.45">
      <c r="A754" s="22"/>
    </row>
    <row r="755" spans="1:1" x14ac:dyDescent="0.45">
      <c r="A755" s="22"/>
    </row>
    <row r="756" spans="1:1" x14ac:dyDescent="0.45">
      <c r="A756" s="22"/>
    </row>
    <row r="757" spans="1:1" x14ac:dyDescent="0.45">
      <c r="A757" s="22"/>
    </row>
    <row r="758" spans="1:1" x14ac:dyDescent="0.45">
      <c r="A758" s="22"/>
    </row>
    <row r="759" spans="1:1" x14ac:dyDescent="0.45">
      <c r="A759" s="22"/>
    </row>
    <row r="760" spans="1:1" x14ac:dyDescent="0.45">
      <c r="A760" s="22"/>
    </row>
    <row r="761" spans="1:1" x14ac:dyDescent="0.45">
      <c r="A761" s="22"/>
    </row>
    <row r="762" spans="1:1" x14ac:dyDescent="0.45">
      <c r="A762" s="22"/>
    </row>
    <row r="763" spans="1:1" x14ac:dyDescent="0.45">
      <c r="A763" s="22"/>
    </row>
    <row r="764" spans="1:1" x14ac:dyDescent="0.45">
      <c r="A764" s="22"/>
    </row>
    <row r="765" spans="1:1" x14ac:dyDescent="0.45">
      <c r="A765" s="22"/>
    </row>
    <row r="766" spans="1:1" x14ac:dyDescent="0.45">
      <c r="A766" s="22"/>
    </row>
    <row r="767" spans="1:1" x14ac:dyDescent="0.45">
      <c r="A767" s="22"/>
    </row>
    <row r="768" spans="1:1" x14ac:dyDescent="0.45">
      <c r="A768" s="22"/>
    </row>
    <row r="769" spans="1:1" x14ac:dyDescent="0.45">
      <c r="A769" s="22"/>
    </row>
    <row r="770" spans="1:1" x14ac:dyDescent="0.45">
      <c r="A770" s="22"/>
    </row>
    <row r="771" spans="1:1" x14ac:dyDescent="0.45">
      <c r="A771" s="22"/>
    </row>
    <row r="772" spans="1:1" x14ac:dyDescent="0.45">
      <c r="A772" s="22"/>
    </row>
    <row r="773" spans="1:1" x14ac:dyDescent="0.45">
      <c r="A773" s="22"/>
    </row>
    <row r="774" spans="1:1" x14ac:dyDescent="0.45">
      <c r="A774" s="22"/>
    </row>
    <row r="775" spans="1:1" x14ac:dyDescent="0.45">
      <c r="A775" s="22"/>
    </row>
    <row r="776" spans="1:1" x14ac:dyDescent="0.45">
      <c r="A776" s="22"/>
    </row>
    <row r="777" spans="1:1" x14ac:dyDescent="0.45">
      <c r="A777" s="22"/>
    </row>
    <row r="778" spans="1:1" x14ac:dyDescent="0.45">
      <c r="A778" s="22"/>
    </row>
    <row r="779" spans="1:1" x14ac:dyDescent="0.45">
      <c r="A779" s="22"/>
    </row>
    <row r="780" spans="1:1" x14ac:dyDescent="0.45">
      <c r="A780" s="22"/>
    </row>
    <row r="781" spans="1:1" x14ac:dyDescent="0.45">
      <c r="A781" s="22"/>
    </row>
    <row r="782" spans="1:1" x14ac:dyDescent="0.45">
      <c r="A782" s="22"/>
    </row>
    <row r="783" spans="1:1" x14ac:dyDescent="0.45">
      <c r="A783" s="22"/>
    </row>
    <row r="784" spans="1:1" x14ac:dyDescent="0.45">
      <c r="A784" s="22"/>
    </row>
    <row r="785" spans="1:1" x14ac:dyDescent="0.45">
      <c r="A785" s="22"/>
    </row>
    <row r="786" spans="1:1" x14ac:dyDescent="0.45">
      <c r="A786" s="22"/>
    </row>
    <row r="787" spans="1:1" x14ac:dyDescent="0.45">
      <c r="A787" s="22"/>
    </row>
    <row r="788" spans="1:1" x14ac:dyDescent="0.45">
      <c r="A788" s="22"/>
    </row>
    <row r="789" spans="1:1" x14ac:dyDescent="0.45">
      <c r="A789" s="22"/>
    </row>
    <row r="790" spans="1:1" x14ac:dyDescent="0.45">
      <c r="A790" s="22"/>
    </row>
    <row r="791" spans="1:1" x14ac:dyDescent="0.45">
      <c r="A791" s="22"/>
    </row>
    <row r="792" spans="1:1" x14ac:dyDescent="0.45">
      <c r="A792" s="22"/>
    </row>
    <row r="793" spans="1:1" x14ac:dyDescent="0.45">
      <c r="A793" s="22"/>
    </row>
    <row r="794" spans="1:1" x14ac:dyDescent="0.45">
      <c r="A794" s="22"/>
    </row>
    <row r="795" spans="1:1" x14ac:dyDescent="0.45">
      <c r="A795" s="22"/>
    </row>
    <row r="796" spans="1:1" x14ac:dyDescent="0.45">
      <c r="A796" s="22"/>
    </row>
    <row r="797" spans="1:1" x14ac:dyDescent="0.45">
      <c r="A797" s="22"/>
    </row>
    <row r="798" spans="1:1" x14ac:dyDescent="0.45">
      <c r="A798" s="22"/>
    </row>
    <row r="799" spans="1:1" x14ac:dyDescent="0.45">
      <c r="A799" s="22"/>
    </row>
    <row r="800" spans="1:1" x14ac:dyDescent="0.45">
      <c r="A800" s="22"/>
    </row>
    <row r="801" spans="1:1" x14ac:dyDescent="0.45">
      <c r="A801" s="22"/>
    </row>
    <row r="802" spans="1:1" x14ac:dyDescent="0.45">
      <c r="A802" s="22"/>
    </row>
    <row r="803" spans="1:1" x14ac:dyDescent="0.45">
      <c r="A803" s="22"/>
    </row>
    <row r="804" spans="1:1" x14ac:dyDescent="0.45">
      <c r="A804" s="22"/>
    </row>
    <row r="805" spans="1:1" x14ac:dyDescent="0.45">
      <c r="A805" s="22"/>
    </row>
    <row r="806" spans="1:1" x14ac:dyDescent="0.45">
      <c r="A806" s="22"/>
    </row>
    <row r="807" spans="1:1" x14ac:dyDescent="0.45">
      <c r="A807" s="22"/>
    </row>
    <row r="808" spans="1:1" x14ac:dyDescent="0.45">
      <c r="A808" s="22"/>
    </row>
    <row r="809" spans="1:1" x14ac:dyDescent="0.45">
      <c r="A809" s="22"/>
    </row>
    <row r="810" spans="1:1" x14ac:dyDescent="0.45">
      <c r="A810" s="22"/>
    </row>
    <row r="811" spans="1:1" x14ac:dyDescent="0.45">
      <c r="A811" s="22"/>
    </row>
    <row r="812" spans="1:1" x14ac:dyDescent="0.45">
      <c r="A812" s="22"/>
    </row>
    <row r="813" spans="1:1" x14ac:dyDescent="0.45">
      <c r="A813" s="22"/>
    </row>
    <row r="814" spans="1:1" x14ac:dyDescent="0.45">
      <c r="A814" s="22"/>
    </row>
    <row r="815" spans="1:1" x14ac:dyDescent="0.45">
      <c r="A815" s="22"/>
    </row>
    <row r="816" spans="1:1" x14ac:dyDescent="0.45">
      <c r="A816" s="22"/>
    </row>
    <row r="817" spans="1:1" x14ac:dyDescent="0.45">
      <c r="A817" s="22"/>
    </row>
    <row r="818" spans="1:1" x14ac:dyDescent="0.45">
      <c r="A818" s="22"/>
    </row>
    <row r="819" spans="1:1" x14ac:dyDescent="0.45">
      <c r="A819" s="22"/>
    </row>
    <row r="820" spans="1:1" x14ac:dyDescent="0.45">
      <c r="A820" s="22"/>
    </row>
    <row r="821" spans="1:1" x14ac:dyDescent="0.45">
      <c r="A821" s="22"/>
    </row>
    <row r="822" spans="1:1" x14ac:dyDescent="0.45">
      <c r="A822" s="22"/>
    </row>
    <row r="823" spans="1:1" x14ac:dyDescent="0.45">
      <c r="A823" s="22"/>
    </row>
    <row r="824" spans="1:1" x14ac:dyDescent="0.45">
      <c r="A824" s="22"/>
    </row>
    <row r="825" spans="1:1" x14ac:dyDescent="0.45">
      <c r="A825" s="22"/>
    </row>
    <row r="826" spans="1:1" x14ac:dyDescent="0.45">
      <c r="A826" s="22"/>
    </row>
    <row r="827" spans="1:1" x14ac:dyDescent="0.45">
      <c r="A827" s="22"/>
    </row>
    <row r="828" spans="1:1" x14ac:dyDescent="0.45">
      <c r="A828" s="22"/>
    </row>
    <row r="829" spans="1:1" x14ac:dyDescent="0.45">
      <c r="A829" s="22"/>
    </row>
    <row r="830" spans="1:1" x14ac:dyDescent="0.45">
      <c r="A830" s="22"/>
    </row>
    <row r="831" spans="1:1" x14ac:dyDescent="0.45">
      <c r="A831" s="22"/>
    </row>
    <row r="832" spans="1:1" x14ac:dyDescent="0.45">
      <c r="A832" s="22"/>
    </row>
    <row r="833" spans="1:1" x14ac:dyDescent="0.45">
      <c r="A833" s="22"/>
    </row>
    <row r="834" spans="1:1" x14ac:dyDescent="0.45">
      <c r="A834" s="22"/>
    </row>
    <row r="835" spans="1:1" x14ac:dyDescent="0.45">
      <c r="A835" s="22"/>
    </row>
    <row r="836" spans="1:1" x14ac:dyDescent="0.45">
      <c r="A836" s="22"/>
    </row>
    <row r="837" spans="1:1" x14ac:dyDescent="0.45">
      <c r="A837" s="22"/>
    </row>
    <row r="838" spans="1:1" x14ac:dyDescent="0.45">
      <c r="A838" s="22"/>
    </row>
    <row r="839" spans="1:1" x14ac:dyDescent="0.45">
      <c r="A839" s="22"/>
    </row>
    <row r="840" spans="1:1" x14ac:dyDescent="0.45">
      <c r="A840" s="22"/>
    </row>
    <row r="841" spans="1:1" x14ac:dyDescent="0.45">
      <c r="A841" s="22"/>
    </row>
    <row r="842" spans="1:1" x14ac:dyDescent="0.45">
      <c r="A842" s="22"/>
    </row>
    <row r="843" spans="1:1" x14ac:dyDescent="0.45">
      <c r="A843" s="22"/>
    </row>
    <row r="844" spans="1:1" x14ac:dyDescent="0.45">
      <c r="A844" s="22"/>
    </row>
    <row r="845" spans="1:1" x14ac:dyDescent="0.45">
      <c r="A845" s="22"/>
    </row>
    <row r="846" spans="1:1" x14ac:dyDescent="0.45">
      <c r="A846" s="22"/>
    </row>
    <row r="847" spans="1:1" x14ac:dyDescent="0.45">
      <c r="A847" s="22"/>
    </row>
    <row r="848" spans="1:1" x14ac:dyDescent="0.45">
      <c r="A848" s="22"/>
    </row>
    <row r="849" spans="1:1" x14ac:dyDescent="0.45">
      <c r="A849" s="22"/>
    </row>
    <row r="850" spans="1:1" x14ac:dyDescent="0.45">
      <c r="A850" s="22"/>
    </row>
    <row r="851" spans="1:1" x14ac:dyDescent="0.45">
      <c r="A851" s="22"/>
    </row>
    <row r="852" spans="1:1" x14ac:dyDescent="0.45">
      <c r="A852" s="22"/>
    </row>
    <row r="853" spans="1:1" x14ac:dyDescent="0.45">
      <c r="A853" s="22"/>
    </row>
    <row r="854" spans="1:1" x14ac:dyDescent="0.45">
      <c r="A854" s="22"/>
    </row>
    <row r="855" spans="1:1" x14ac:dyDescent="0.45">
      <c r="A855" s="22"/>
    </row>
    <row r="856" spans="1:1" x14ac:dyDescent="0.45">
      <c r="A856" s="22"/>
    </row>
    <row r="857" spans="1:1" x14ac:dyDescent="0.45">
      <c r="A857" s="22"/>
    </row>
    <row r="858" spans="1:1" x14ac:dyDescent="0.45">
      <c r="A858" s="22"/>
    </row>
    <row r="859" spans="1:1" x14ac:dyDescent="0.45">
      <c r="A859" s="22"/>
    </row>
    <row r="860" spans="1:1" x14ac:dyDescent="0.45">
      <c r="A860" s="22"/>
    </row>
    <row r="861" spans="1:1" x14ac:dyDescent="0.45">
      <c r="A861" s="22"/>
    </row>
    <row r="862" spans="1:1" x14ac:dyDescent="0.45">
      <c r="A862" s="22"/>
    </row>
    <row r="863" spans="1:1" x14ac:dyDescent="0.45">
      <c r="A863" s="22"/>
    </row>
    <row r="864" spans="1:1" x14ac:dyDescent="0.45">
      <c r="A864" s="22"/>
    </row>
    <row r="865" spans="1:1" x14ac:dyDescent="0.45">
      <c r="A865" s="22"/>
    </row>
    <row r="866" spans="1:1" x14ac:dyDescent="0.45">
      <c r="A866" s="22"/>
    </row>
    <row r="867" spans="1:1" x14ac:dyDescent="0.45">
      <c r="A867" s="22"/>
    </row>
    <row r="868" spans="1:1" x14ac:dyDescent="0.45">
      <c r="A868" s="22"/>
    </row>
    <row r="869" spans="1:1" x14ac:dyDescent="0.45">
      <c r="A869" s="22"/>
    </row>
    <row r="870" spans="1:1" x14ac:dyDescent="0.45">
      <c r="A870" s="22"/>
    </row>
    <row r="871" spans="1:1" x14ac:dyDescent="0.45">
      <c r="A871" s="22"/>
    </row>
    <row r="872" spans="1:1" x14ac:dyDescent="0.45">
      <c r="A872" s="22"/>
    </row>
    <row r="873" spans="1:1" x14ac:dyDescent="0.45">
      <c r="A873" s="22"/>
    </row>
    <row r="874" spans="1:1" x14ac:dyDescent="0.45">
      <c r="A874" s="22"/>
    </row>
    <row r="875" spans="1:1" x14ac:dyDescent="0.45">
      <c r="A875" s="22"/>
    </row>
    <row r="876" spans="1:1" x14ac:dyDescent="0.45">
      <c r="A876" s="22"/>
    </row>
    <row r="877" spans="1:1" x14ac:dyDescent="0.45">
      <c r="A877" s="22"/>
    </row>
    <row r="878" spans="1:1" x14ac:dyDescent="0.45">
      <c r="A878" s="22"/>
    </row>
    <row r="879" spans="1:1" x14ac:dyDescent="0.45">
      <c r="A879" s="22"/>
    </row>
    <row r="880" spans="1:1" x14ac:dyDescent="0.45">
      <c r="A880" s="22"/>
    </row>
    <row r="881" spans="1:1" x14ac:dyDescent="0.45">
      <c r="A881" s="22"/>
    </row>
    <row r="882" spans="1:1" x14ac:dyDescent="0.45">
      <c r="A882" s="22"/>
    </row>
    <row r="883" spans="1:1" x14ac:dyDescent="0.45">
      <c r="A883" s="22"/>
    </row>
    <row r="884" spans="1:1" x14ac:dyDescent="0.45">
      <c r="A884" s="22"/>
    </row>
    <row r="885" spans="1:1" x14ac:dyDescent="0.45">
      <c r="A885" s="22"/>
    </row>
    <row r="886" spans="1:1" x14ac:dyDescent="0.45">
      <c r="A886" s="22"/>
    </row>
    <row r="887" spans="1:1" x14ac:dyDescent="0.45">
      <c r="A887" s="22"/>
    </row>
    <row r="888" spans="1:1" x14ac:dyDescent="0.45">
      <c r="A888" s="22"/>
    </row>
    <row r="889" spans="1:1" x14ac:dyDescent="0.45">
      <c r="A889" s="22"/>
    </row>
    <row r="890" spans="1:1" x14ac:dyDescent="0.45">
      <c r="A890" s="22"/>
    </row>
    <row r="891" spans="1:1" x14ac:dyDescent="0.45">
      <c r="A891" s="22"/>
    </row>
    <row r="892" spans="1:1" x14ac:dyDescent="0.45">
      <c r="A892" s="22"/>
    </row>
    <row r="893" spans="1:1" x14ac:dyDescent="0.45">
      <c r="A893" s="22"/>
    </row>
    <row r="894" spans="1:1" x14ac:dyDescent="0.45">
      <c r="A894" s="22"/>
    </row>
    <row r="895" spans="1:1" x14ac:dyDescent="0.45">
      <c r="A895" s="22"/>
    </row>
    <row r="896" spans="1:1" x14ac:dyDescent="0.45">
      <c r="A896" s="22"/>
    </row>
    <row r="897" spans="1:1" x14ac:dyDescent="0.45">
      <c r="A897" s="22"/>
    </row>
    <row r="898" spans="1:1" x14ac:dyDescent="0.45">
      <c r="A898" s="22"/>
    </row>
    <row r="899" spans="1:1" x14ac:dyDescent="0.45">
      <c r="A899" s="22"/>
    </row>
    <row r="900" spans="1:1" x14ac:dyDescent="0.45">
      <c r="A900" s="22"/>
    </row>
    <row r="901" spans="1:1" x14ac:dyDescent="0.45">
      <c r="A901" s="22"/>
    </row>
    <row r="902" spans="1:1" x14ac:dyDescent="0.45">
      <c r="A902" s="22"/>
    </row>
    <row r="903" spans="1:1" x14ac:dyDescent="0.45">
      <c r="A903" s="22"/>
    </row>
    <row r="904" spans="1:1" x14ac:dyDescent="0.45">
      <c r="A904" s="22"/>
    </row>
    <row r="905" spans="1:1" x14ac:dyDescent="0.45">
      <c r="A905" s="22"/>
    </row>
    <row r="906" spans="1:1" x14ac:dyDescent="0.45">
      <c r="A906" s="22"/>
    </row>
    <row r="907" spans="1:1" x14ac:dyDescent="0.45">
      <c r="A907" s="22"/>
    </row>
    <row r="908" spans="1:1" x14ac:dyDescent="0.45">
      <c r="A908" s="22"/>
    </row>
    <row r="909" spans="1:1" x14ac:dyDescent="0.45">
      <c r="A909" s="22"/>
    </row>
    <row r="910" spans="1:1" x14ac:dyDescent="0.45">
      <c r="A910" s="22"/>
    </row>
    <row r="911" spans="1:1" x14ac:dyDescent="0.45">
      <c r="A911" s="22"/>
    </row>
    <row r="912" spans="1:1" x14ac:dyDescent="0.45">
      <c r="A912" s="22"/>
    </row>
    <row r="913" spans="1:1" x14ac:dyDescent="0.45">
      <c r="A913" s="22"/>
    </row>
    <row r="914" spans="1:1" x14ac:dyDescent="0.45">
      <c r="A914" s="22"/>
    </row>
    <row r="915" spans="1:1" x14ac:dyDescent="0.45">
      <c r="A915" s="22"/>
    </row>
    <row r="916" spans="1:1" x14ac:dyDescent="0.45">
      <c r="A916" s="22"/>
    </row>
    <row r="917" spans="1:1" x14ac:dyDescent="0.45">
      <c r="A917" s="22"/>
    </row>
    <row r="918" spans="1:1" x14ac:dyDescent="0.45">
      <c r="A918" s="22"/>
    </row>
    <row r="919" spans="1:1" x14ac:dyDescent="0.45">
      <c r="A919" s="22"/>
    </row>
    <row r="920" spans="1:1" x14ac:dyDescent="0.45">
      <c r="A920" s="22"/>
    </row>
    <row r="921" spans="1:1" x14ac:dyDescent="0.45">
      <c r="A921" s="22"/>
    </row>
    <row r="922" spans="1:1" x14ac:dyDescent="0.45">
      <c r="A922" s="22"/>
    </row>
    <row r="923" spans="1:1" x14ac:dyDescent="0.45">
      <c r="A923" s="22"/>
    </row>
    <row r="924" spans="1:1" x14ac:dyDescent="0.45">
      <c r="A924" s="22"/>
    </row>
    <row r="925" spans="1:1" x14ac:dyDescent="0.45">
      <c r="A925" s="22"/>
    </row>
    <row r="926" spans="1:1" x14ac:dyDescent="0.45">
      <c r="A926" s="22"/>
    </row>
    <row r="927" spans="1:1" x14ac:dyDescent="0.45">
      <c r="A927" s="22"/>
    </row>
    <row r="928" spans="1:1" x14ac:dyDescent="0.45">
      <c r="A928" s="22"/>
    </row>
    <row r="929" spans="1:1" x14ac:dyDescent="0.45">
      <c r="A929" s="22"/>
    </row>
    <row r="930" spans="1:1" x14ac:dyDescent="0.45">
      <c r="A930" s="22"/>
    </row>
    <row r="931" spans="1:1" x14ac:dyDescent="0.45">
      <c r="A931" s="22"/>
    </row>
    <row r="932" spans="1:1" x14ac:dyDescent="0.45">
      <c r="A932" s="22"/>
    </row>
    <row r="933" spans="1:1" x14ac:dyDescent="0.45">
      <c r="A933" s="22"/>
    </row>
    <row r="934" spans="1:1" x14ac:dyDescent="0.45">
      <c r="A934" s="22"/>
    </row>
    <row r="935" spans="1:1" x14ac:dyDescent="0.45">
      <c r="A935" s="22"/>
    </row>
    <row r="936" spans="1:1" x14ac:dyDescent="0.45">
      <c r="A936" s="22"/>
    </row>
    <row r="937" spans="1:1" x14ac:dyDescent="0.45">
      <c r="A937" s="22"/>
    </row>
    <row r="938" spans="1:1" x14ac:dyDescent="0.45">
      <c r="A938" s="22"/>
    </row>
    <row r="939" spans="1:1" x14ac:dyDescent="0.45">
      <c r="A939" s="22"/>
    </row>
    <row r="940" spans="1:1" x14ac:dyDescent="0.45">
      <c r="A940" s="22"/>
    </row>
    <row r="941" spans="1:1" x14ac:dyDescent="0.45">
      <c r="A941" s="22"/>
    </row>
    <row r="942" spans="1:1" x14ac:dyDescent="0.45">
      <c r="A942" s="22"/>
    </row>
    <row r="943" spans="1:1" x14ac:dyDescent="0.45">
      <c r="A943" s="22"/>
    </row>
    <row r="944" spans="1:1" x14ac:dyDescent="0.45">
      <c r="A944" s="22"/>
    </row>
    <row r="945" spans="1:1" x14ac:dyDescent="0.45">
      <c r="A945" s="22"/>
    </row>
    <row r="946" spans="1:1" x14ac:dyDescent="0.45">
      <c r="A946" s="22"/>
    </row>
    <row r="947" spans="1:1" x14ac:dyDescent="0.45">
      <c r="A947" s="22"/>
    </row>
    <row r="948" spans="1:1" x14ac:dyDescent="0.45">
      <c r="A948" s="22"/>
    </row>
    <row r="949" spans="1:1" x14ac:dyDescent="0.45">
      <c r="A949" s="22"/>
    </row>
    <row r="950" spans="1:1" x14ac:dyDescent="0.45">
      <c r="A950" s="22"/>
    </row>
    <row r="951" spans="1:1" x14ac:dyDescent="0.45">
      <c r="A951" s="22"/>
    </row>
    <row r="952" spans="1:1" x14ac:dyDescent="0.45">
      <c r="A952" s="22"/>
    </row>
    <row r="953" spans="1:1" x14ac:dyDescent="0.45">
      <c r="A953" s="22"/>
    </row>
    <row r="954" spans="1:1" x14ac:dyDescent="0.45">
      <c r="A954" s="22"/>
    </row>
    <row r="955" spans="1:1" x14ac:dyDescent="0.45">
      <c r="A955" s="22"/>
    </row>
  </sheetData>
  <pageMargins left="0.7" right="0.7" top="0.75" bottom="0.75" header="0.3" footer="0.3"/>
  <tableParts count="1">
    <tablePart r:id="rId1"/>
  </tableParts>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_rels/item5.xml.rels><?xml version="1.0" encoding="UTF-8" standalone="yes"?>
<Relationships xmlns="http://schemas.openxmlformats.org/package/2006/relationships"><Relationship Id="rId1" Type="http://schemas.openxmlformats.org/officeDocument/2006/relationships/customXmlProps" Target="itemProps5.xml"/></Relationships>
</file>

<file path=customXml/_rels/item6.xml.rels><?xml version="1.0" encoding="UTF-8" standalone="yes"?>
<Relationships xmlns="http://schemas.openxmlformats.org/package/2006/relationships"><Relationship Id="rId1" Type="http://schemas.openxmlformats.org/officeDocument/2006/relationships/customXmlProps" Target="itemProps6.xml"/></Relationships>
</file>

<file path=customXml/_rels/item7.xml.rels><?xml version="1.0" encoding="UTF-8" standalone="yes"?>
<Relationships xmlns="http://schemas.openxmlformats.org/package/2006/relationships"><Relationship Id="rId1" Type="http://schemas.openxmlformats.org/officeDocument/2006/relationships/customXmlProps" Target="itemProps7.xml"/></Relationships>
</file>

<file path=customXml/_rels/item8.xml.rels><?xml version="1.0" encoding="UTF-8" standalone="yes"?>
<Relationships xmlns="http://schemas.openxmlformats.org/package/2006/relationships"><Relationship Id="rId1" Type="http://schemas.openxmlformats.org/officeDocument/2006/relationships/customXmlProps" Target="itemProps8.xml"/></Relationships>
</file>

<file path=customXml/_rels/item9.xml.rels><?xml version="1.0" encoding="UTF-8" standalone="yes"?>
<Relationships xmlns="http://schemas.openxmlformats.org/package/2006/relationships"><Relationship Id="rId1" Type="http://schemas.openxmlformats.org/officeDocument/2006/relationships/customXmlProps" Target="itemProps9.xml"/></Relationships>
</file>

<file path=customXml/_rels/item10.xml.rels><?xml version="1.0" encoding="UTF-8" standalone="yes"?>
<Relationships xmlns="http://schemas.openxmlformats.org/package/2006/relationships"><Relationship Id="rId1" Type="http://schemas.openxmlformats.org/officeDocument/2006/relationships/customXmlProps" Target="itemProps10.xml"/></Relationships>
</file>

<file path=customXml/_rels/item11.xml.rels><?xml version="1.0" encoding="UTF-8" standalone="yes"?>
<Relationships xmlns="http://schemas.openxmlformats.org/package/2006/relationships"><Relationship Id="rId1" Type="http://schemas.openxmlformats.org/officeDocument/2006/relationships/customXmlProps" Target="itemProps11.xml"/></Relationships>
</file>

<file path=customXml/_rels/item12.xml.rels><?xml version="1.0" encoding="UTF-8" standalone="yes"?>
<Relationships xmlns="http://schemas.openxmlformats.org/package/2006/relationships"><Relationship Id="rId1" Type="http://schemas.openxmlformats.org/officeDocument/2006/relationships/customXmlProps" Target="itemProps12.xml"/></Relationships>
</file>

<file path=customXml/_rels/item13.xml.rels><?xml version="1.0" encoding="UTF-8" standalone="yes"?>
<Relationships xmlns="http://schemas.openxmlformats.org/package/2006/relationships"><Relationship Id="rId1" Type="http://schemas.openxmlformats.org/officeDocument/2006/relationships/customXmlProps" Target="itemProps13.xml"/></Relationships>
</file>

<file path=customXml/_rels/item14.xml.rels><?xml version="1.0" encoding="UTF-8" standalone="yes"?>
<Relationships xmlns="http://schemas.openxmlformats.org/package/2006/relationships"><Relationship Id="rId1" Type="http://schemas.openxmlformats.org/officeDocument/2006/relationships/customXmlProps" Target="itemProps14.xml"/></Relationships>
</file>

<file path=customXml/_rels/item15.xml.rels><?xml version="1.0" encoding="UTF-8" standalone="yes"?>
<Relationships xmlns="http://schemas.openxmlformats.org/package/2006/relationships"><Relationship Id="rId1" Type="http://schemas.openxmlformats.org/officeDocument/2006/relationships/customXmlProps" Target="itemProps15.xml"/></Relationships>
</file>

<file path=customXml/_rels/item16.xml.rels><?xml version="1.0" encoding="UTF-8" standalone="yes"?>
<Relationships xmlns="http://schemas.openxmlformats.org/package/2006/relationships"><Relationship Id="rId1" Type="http://schemas.openxmlformats.org/officeDocument/2006/relationships/customXmlProps" Target="itemProps16.xml"/></Relationships>
</file>

<file path=customXml/_rels/item17.xml.rels><?xml version="1.0" encoding="UTF-8" standalone="yes"?>
<Relationships xmlns="http://schemas.openxmlformats.org/package/2006/relationships"><Relationship Id="rId1" Type="http://schemas.openxmlformats.org/officeDocument/2006/relationships/customXmlProps" Target="itemProps17.xml"/></Relationships>
</file>

<file path=customXml/_rels/item18.xml.rels><?xml version="1.0" encoding="UTF-8" standalone="yes"?>
<Relationships xmlns="http://schemas.openxmlformats.org/package/2006/relationships"><Relationship Id="rId1" Type="http://schemas.openxmlformats.org/officeDocument/2006/relationships/customXmlProps" Target="itemProps18.xml"/></Relationships>
</file>

<file path=customXml/_rels/item19.xml.rels><?xml version="1.0" encoding="UTF-8" standalone="yes"?>
<Relationships xmlns="http://schemas.openxmlformats.org/package/2006/relationships"><Relationship Id="rId1" Type="http://schemas.openxmlformats.org/officeDocument/2006/relationships/customXmlProps" Target="itemProps19.xml"/></Relationships>
</file>

<file path=customXml/item1.xml>�� 
</file>

<file path=customXml/item2.xml>�� 
</file>

<file path=customXml/item3.xml>�� 
</file>

<file path=customXml/item4.xml>�� 
</file>

<file path=customXml/item5.xml>�� 
</file>

<file path=customXml/item6.xml>�� 
</file>

<file path=customXml/item7.xml>�� 
</file>

<file path=customXml/item8.xml>�� 
</file>

<file path=customXml/item9.xml>�� 
</file>

<file path=customXml/item10.xml>�� 
</file>

<file path=customXml/item11.xml>�� 
</file>

<file path=customXml/item12.xml>�� 
</file>

<file path=customXml/item13.xml>�� 
</file>

<file path=customXml/item14.xml>�� 
</file>

<file path=customXml/item15.xml>�� 
</file>

<file path=customXml/item16.xml>�� 
</file>

<file path=customXml/item17.xml>�� 
</file>

<file path=customXml/item18.xml>�� 
</file>

<file path=customXml/item19.xml>�� 
</file>

<file path=customXml/itemProps1.xml><?xml version="1.0" encoding="utf-8"?>
<ds:datastoreItem xmlns:ds="http://schemas.openxmlformats.org/officeDocument/2006/customXml" ds:itemID="{F0CB2EE0-D07C-41C1-AE7E-BB4D21ACD576}">
  <ds:schemaRefs/>
</ds:datastoreItem>
</file>

<file path=customXml/itemProps2.xml><?xml version="1.0" encoding="utf-8"?>
<ds:datastoreItem xmlns:ds="http://schemas.openxmlformats.org/officeDocument/2006/customXml" ds:itemID="{DA8F025F-B061-42F7-89C0-56274F7337F3}">
  <ds:schemaRefs/>
</ds:datastoreItem>
</file>

<file path=customXml/itemProps3.xml><?xml version="1.0" encoding="utf-8"?>
<ds:datastoreItem xmlns:ds="http://schemas.openxmlformats.org/officeDocument/2006/customXml" ds:itemID="{31C6CD83-43FB-49E7-983F-5375A4ADE81C}">
  <ds:schemaRefs/>
</ds:datastoreItem>
</file>

<file path=customXml/itemProps4.xml><?xml version="1.0" encoding="utf-8"?>
<ds:datastoreItem xmlns:ds="http://schemas.openxmlformats.org/officeDocument/2006/customXml" ds:itemID="{DAE61FCF-DFF6-42FC-A3D8-FE20103718E0}">
  <ds:schemaRefs/>
</ds:datastoreItem>
</file>

<file path=customXml/itemProps5.xml><?xml version="1.0" encoding="utf-8"?>
<ds:datastoreItem xmlns:ds="http://schemas.openxmlformats.org/officeDocument/2006/customXml" ds:itemID="{EA601E51-AE5A-44AD-9498-8F045495A576}">
  <ds:schemaRefs/>
</ds:datastoreItem>
</file>

<file path=customXml/itemProps6.xml><?xml version="1.0" encoding="utf-8"?>
<ds:datastoreItem xmlns:ds="http://schemas.openxmlformats.org/officeDocument/2006/customXml" ds:itemID="{DB7A74C7-17EF-409B-A608-D46A302D2BE9}">
  <ds:schemaRefs/>
</ds:datastoreItem>
</file>

<file path=customXml/itemProps7.xml><?xml version="1.0" encoding="utf-8"?>
<ds:datastoreItem xmlns:ds="http://schemas.openxmlformats.org/officeDocument/2006/customXml" ds:itemID="{3A29AAC3-1257-4A38-A12A-8E87335DAB46}">
  <ds:schemaRefs/>
</ds:datastoreItem>
</file>

<file path=customXml/itemProps8.xml><?xml version="1.0" encoding="utf-8"?>
<ds:datastoreItem xmlns:ds="http://schemas.openxmlformats.org/officeDocument/2006/customXml" ds:itemID="{4C36CF82-6418-4893-A1D4-077B2F045A9D}">
  <ds:schemaRefs/>
</ds:datastoreItem>
</file>

<file path=customXml/itemProps9.xml><?xml version="1.0" encoding="utf-8"?>
<ds:datastoreItem xmlns:ds="http://schemas.openxmlformats.org/officeDocument/2006/customXml" ds:itemID="{F81B7045-7249-4416-8B8C-C2974BA189D0}">
  <ds:schemaRefs/>
</ds:datastoreItem>
</file>

<file path=customXml/itemProps10.xml><?xml version="1.0" encoding="utf-8"?>
<ds:datastoreItem xmlns:ds="http://schemas.openxmlformats.org/officeDocument/2006/customXml" ds:itemID="{3228189E-E46C-4E36-97BE-F52DEBE160B0}">
  <ds:schemaRefs>
    <ds:schemaRef ds:uri="http://schemas.microsoft.com/DataMashup"/>
  </ds:schemaRefs>
</ds:datastoreItem>
</file>

<file path=customXml/itemProps11.xml><?xml version="1.0" encoding="utf-8"?>
<ds:datastoreItem xmlns:ds="http://schemas.openxmlformats.org/officeDocument/2006/customXml" ds:itemID="{418C07DE-6123-48C0-9DF3-0A885DA33307}">
  <ds:schemaRefs/>
</ds:datastoreItem>
</file>

<file path=customXml/itemProps12.xml><?xml version="1.0" encoding="utf-8"?>
<ds:datastoreItem xmlns:ds="http://schemas.openxmlformats.org/officeDocument/2006/customXml" ds:itemID="{60829A49-0511-4824-8D83-18DFD68D9B26}">
  <ds:schemaRefs/>
</ds:datastoreItem>
</file>

<file path=customXml/itemProps13.xml><?xml version="1.0" encoding="utf-8"?>
<ds:datastoreItem xmlns:ds="http://schemas.openxmlformats.org/officeDocument/2006/customXml" ds:itemID="{1965BF60-6A7E-41A0-9CFD-788E4FC0E532}">
  <ds:schemaRefs/>
</ds:datastoreItem>
</file>

<file path=customXml/itemProps14.xml><?xml version="1.0" encoding="utf-8"?>
<ds:datastoreItem xmlns:ds="http://schemas.openxmlformats.org/officeDocument/2006/customXml" ds:itemID="{1A4CD672-1D75-4F5B-BCCB-36B33C25A373}">
  <ds:schemaRefs/>
</ds:datastoreItem>
</file>

<file path=customXml/itemProps15.xml><?xml version="1.0" encoding="utf-8"?>
<ds:datastoreItem xmlns:ds="http://schemas.openxmlformats.org/officeDocument/2006/customXml" ds:itemID="{5E8786BE-A58C-45B6-80A3-A1B1D94D57A8}">
  <ds:schemaRefs/>
</ds:datastoreItem>
</file>

<file path=customXml/itemProps16.xml><?xml version="1.0" encoding="utf-8"?>
<ds:datastoreItem xmlns:ds="http://schemas.openxmlformats.org/officeDocument/2006/customXml" ds:itemID="{DD452988-1F8A-4F11-80D3-A251B4A8DE51}">
  <ds:schemaRefs/>
</ds:datastoreItem>
</file>

<file path=customXml/itemProps17.xml><?xml version="1.0" encoding="utf-8"?>
<ds:datastoreItem xmlns:ds="http://schemas.openxmlformats.org/officeDocument/2006/customXml" ds:itemID="{F229E6E4-CC58-4C12-9763-8C6BFAFE210D}">
  <ds:schemaRefs/>
</ds:datastoreItem>
</file>

<file path=customXml/itemProps18.xml><?xml version="1.0" encoding="utf-8"?>
<ds:datastoreItem xmlns:ds="http://schemas.openxmlformats.org/officeDocument/2006/customXml" ds:itemID="{76789298-F89B-4DCB-896A-2CCF5DADB985}">
  <ds:schemaRefs/>
</ds:datastoreItem>
</file>

<file path=customXml/itemProps19.xml><?xml version="1.0" encoding="utf-8"?>
<ds:datastoreItem xmlns:ds="http://schemas.openxmlformats.org/officeDocument/2006/customXml" ds:itemID="{CF92C01F-C9E7-4CC0-9C1E-0FF24631D13B}">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8</vt:i4>
      </vt:variant>
      <vt:variant>
        <vt:lpstr>Named Ranges</vt:lpstr>
      </vt:variant>
      <vt:variant>
        <vt:i4>1</vt:i4>
      </vt:variant>
    </vt:vector>
  </HeadingPairs>
  <TitlesOfParts>
    <vt:vector size="9" baseType="lpstr">
      <vt:lpstr>12-Month Cash Flow</vt:lpstr>
      <vt:lpstr>12-Month Pivot Summary</vt:lpstr>
      <vt:lpstr>12-Month Expense data</vt:lpstr>
      <vt:lpstr>12-Month Sales detail</vt:lpstr>
      <vt:lpstr>Chart of Accounts</vt:lpstr>
      <vt:lpstr>Consolidated Data</vt:lpstr>
      <vt:lpstr>Expense - Power Query</vt:lpstr>
      <vt:lpstr>Sales - Power Query</vt:lpstr>
      <vt:lpstr>_3_Year_Sales_Data</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Chris "Smitty" Smith</dc:creator>
  <cp:lastModifiedBy>Chris "Smitty" Smith</cp:lastModifiedBy>
  <dcterms:created xsi:type="dcterms:W3CDTF">2018-11-30T02:42:57Z</dcterms:created>
  <dcterms:modified xsi:type="dcterms:W3CDTF">2018-12-10T23:39:33Z</dcterms:modified>
</cp:coreProperties>
</file>